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0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JAN</t>
        </is>
      </c>
      <c r="D1" s="1" t="inlineStr">
        <is>
          <t>商品名</t>
        </is>
      </c>
      <c r="E1" s="1" t="inlineStr">
        <is>
          <t>発注数</t>
        </is>
      </c>
      <c r="F1" s="1" t="inlineStr">
        <is>
          <t>納品数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  <c r="J1" s="1" t="inlineStr">
        <is>
          <t>PC原価金額</t>
        </is>
      </c>
      <c r="K1" s="1" t="inlineStr">
        <is>
          <t>店原価金額</t>
        </is>
      </c>
      <c r="L1" s="1" t="inlineStr">
        <is>
          <t>店売価金額</t>
        </is>
      </c>
    </row>
    <row r="2">
      <c r="A2" t="n">
        <v>789</v>
      </c>
      <c r="B2" t="inlineStr">
        <is>
          <t>宇田原C</t>
        </is>
      </c>
      <c r="C2" s="2" t="inlineStr">
        <is>
          <t>4522646130324</t>
        </is>
      </c>
      <c r="D2" t="inlineStr">
        <is>
          <t>Ｓおにぎりセット（鮭・昆７</t>
        </is>
      </c>
      <c r="E2" s="3" t="n">
        <v>4502</v>
      </c>
      <c r="F2" s="3" t="n">
        <v>4502</v>
      </c>
      <c r="G2" s="4" t="n">
        <v>105.26</v>
      </c>
      <c r="H2" s="4" t="n">
        <v>172.82</v>
      </c>
      <c r="I2" s="4" t="n">
        <v>300</v>
      </c>
      <c r="J2" s="3" t="n">
        <v>473880</v>
      </c>
      <c r="K2" s="3" t="n">
        <v>778038</v>
      </c>
      <c r="L2" s="3" t="n">
        <v>1350600</v>
      </c>
    </row>
    <row r="3">
      <c r="A3" t="n">
        <v>789</v>
      </c>
      <c r="B3" t="inlineStr">
        <is>
          <t>宇田原C</t>
        </is>
      </c>
      <c r="C3" s="2" t="inlineStr">
        <is>
          <t>4522646138672</t>
        </is>
      </c>
      <c r="D3" t="inlineStr">
        <is>
          <t>Ｓ大盛ナポリタン</t>
        </is>
      </c>
      <c r="E3" s="3" t="n">
        <v>95</v>
      </c>
      <c r="F3" s="3" t="n">
        <v>95</v>
      </c>
      <c r="G3" s="4" t="n">
        <v>211.43</v>
      </c>
      <c r="H3" s="4" t="n">
        <v>335.6</v>
      </c>
      <c r="I3" s="4" t="n">
        <v>537</v>
      </c>
      <c r="J3" s="3" t="n">
        <v>20086</v>
      </c>
      <c r="K3" s="3" t="n">
        <v>31882</v>
      </c>
      <c r="L3" s="3" t="n">
        <v>51015</v>
      </c>
    </row>
    <row r="4">
      <c r="A4" t="n">
        <v>789</v>
      </c>
      <c r="B4" t="inlineStr">
        <is>
          <t>宇田原C</t>
        </is>
      </c>
      <c r="C4" s="2" t="inlineStr">
        <is>
          <t>4522646138894</t>
        </is>
      </c>
      <c r="D4" t="inlineStr">
        <is>
          <t>Ｓ牛焼肉重３</t>
        </is>
      </c>
      <c r="E4" s="3" t="n">
        <v>1336</v>
      </c>
      <c r="F4" s="3" t="n">
        <v>1336</v>
      </c>
      <c r="G4" s="4" t="n">
        <v>213.54</v>
      </c>
      <c r="H4" s="4" t="n">
        <v>331.14</v>
      </c>
      <c r="I4" s="4" t="n">
        <v>591</v>
      </c>
      <c r="J4" s="3" t="n">
        <v>285291</v>
      </c>
      <c r="K4" s="3" t="n">
        <v>442399</v>
      </c>
      <c r="L4" s="3" t="n">
        <v>789576</v>
      </c>
    </row>
    <row r="5">
      <c r="A5" t="n">
        <v>789</v>
      </c>
      <c r="B5" t="inlineStr">
        <is>
          <t>宇田原C</t>
        </is>
      </c>
      <c r="C5" s="2" t="inlineStr">
        <is>
          <t>4522646138900</t>
        </is>
      </c>
      <c r="D5" t="inlineStr">
        <is>
          <t>Ｓねぎ塩豚カルビ（麦めし６</t>
        </is>
      </c>
      <c r="E5" s="3" t="n">
        <v>882</v>
      </c>
      <c r="F5" s="3" t="n">
        <v>882</v>
      </c>
      <c r="G5" s="4" t="n">
        <v>205.07</v>
      </c>
      <c r="H5" s="4" t="n">
        <v>330.75</v>
      </c>
      <c r="I5" s="4" t="n">
        <v>537</v>
      </c>
      <c r="J5" s="3" t="n">
        <v>181967</v>
      </c>
      <c r="K5" s="3" t="n">
        <v>292812</v>
      </c>
      <c r="L5" s="3" t="n">
        <v>473634</v>
      </c>
    </row>
    <row r="6">
      <c r="A6" t="n">
        <v>789</v>
      </c>
      <c r="B6" t="inlineStr">
        <is>
          <t>宇田原C</t>
        </is>
      </c>
      <c r="C6" s="2" t="inlineStr">
        <is>
          <t>4522646138917</t>
        </is>
      </c>
      <c r="D6" t="inlineStr">
        <is>
          <t>Ｓ関西風オムそば３</t>
        </is>
      </c>
      <c r="E6" s="3" t="n">
        <v>1543</v>
      </c>
      <c r="F6" s="3" t="n">
        <v>1543</v>
      </c>
      <c r="G6" s="4" t="n">
        <v>158.23</v>
      </c>
      <c r="H6" s="4" t="n">
        <v>245.97</v>
      </c>
      <c r="I6" s="4" t="n">
        <v>429</v>
      </c>
      <c r="J6" s="3" t="n">
        <v>244050</v>
      </c>
      <c r="K6" s="3" t="n">
        <v>379432</v>
      </c>
      <c r="L6" s="3" t="n">
        <v>661947</v>
      </c>
    </row>
    <row r="7">
      <c r="A7" t="n">
        <v>789</v>
      </c>
      <c r="B7" t="inlineStr">
        <is>
          <t>宇田原C</t>
        </is>
      </c>
      <c r="C7" s="2" t="inlineStr">
        <is>
          <t>4522646138931</t>
        </is>
      </c>
      <c r="D7" t="inlineStr">
        <is>
          <t>Ｓ関西風やきそば２</t>
        </is>
      </c>
      <c r="E7" s="3" t="n">
        <v>875</v>
      </c>
      <c r="F7" s="3" t="n">
        <v>875</v>
      </c>
      <c r="G7" s="4" t="n">
        <v>130.02</v>
      </c>
      <c r="H7" s="4" t="n">
        <v>203.34</v>
      </c>
      <c r="I7" s="4" t="n">
        <v>375</v>
      </c>
      <c r="J7" s="3" t="n">
        <v>113631</v>
      </c>
      <c r="K7" s="3" t="n">
        <v>177785</v>
      </c>
      <c r="L7" s="3" t="n">
        <v>328125</v>
      </c>
    </row>
    <row r="8">
      <c r="A8" t="n">
        <v>789</v>
      </c>
      <c r="B8" t="inlineStr">
        <is>
          <t>宇田原C</t>
        </is>
      </c>
      <c r="C8" s="2" t="inlineStr">
        <is>
          <t>4522646139150</t>
        </is>
      </c>
      <c r="D8" t="inlineStr">
        <is>
          <t>Ｓよだれ鶏（小）</t>
        </is>
      </c>
      <c r="E8" s="3" t="n">
        <v>1585</v>
      </c>
      <c r="F8" s="3" t="n">
        <v>1585</v>
      </c>
      <c r="G8" s="4" t="n">
        <v>135.37</v>
      </c>
      <c r="H8" s="4" t="n">
        <v>204.02</v>
      </c>
      <c r="I8" s="4" t="n">
        <v>354</v>
      </c>
      <c r="J8" s="3" t="n">
        <v>214562</v>
      </c>
      <c r="K8" s="3" t="n">
        <v>323370</v>
      </c>
      <c r="L8" s="3" t="n">
        <v>561090</v>
      </c>
    </row>
    <row r="9">
      <c r="A9" t="n">
        <v>789</v>
      </c>
      <c r="B9" t="inlineStr">
        <is>
          <t>宇田原C</t>
        </is>
      </c>
      <c r="C9" s="2" t="inlineStr">
        <is>
          <t>4522646150544</t>
        </is>
      </c>
      <c r="D9" t="inlineStr">
        <is>
          <t>Ｓ太麺ナポリタン２</t>
        </is>
      </c>
      <c r="E9" s="3" t="n">
        <v>1487</v>
      </c>
      <c r="F9" s="3" t="n">
        <v>1487</v>
      </c>
      <c r="G9" s="4" t="n">
        <v>160.48</v>
      </c>
      <c r="H9" s="4" t="n">
        <v>251.28</v>
      </c>
      <c r="I9" s="4" t="n">
        <v>429</v>
      </c>
      <c r="J9" s="3" t="n">
        <v>238596</v>
      </c>
      <c r="K9" s="3" t="n">
        <v>373619</v>
      </c>
      <c r="L9" s="3" t="n">
        <v>637923</v>
      </c>
    </row>
    <row r="10">
      <c r="A10" t="n">
        <v>789</v>
      </c>
      <c r="B10" t="inlineStr">
        <is>
          <t>宇田原C</t>
        </is>
      </c>
      <c r="C10" s="2" t="inlineStr">
        <is>
          <t>4522646190984</t>
        </is>
      </c>
      <c r="D10" t="inlineStr">
        <is>
          <t>Ｓかしわおにぎり２個入り５</t>
        </is>
      </c>
      <c r="E10" s="3" t="n">
        <v>7273</v>
      </c>
      <c r="F10" s="3" t="n">
        <v>7335</v>
      </c>
      <c r="G10" s="4" t="n">
        <v>75.53</v>
      </c>
      <c r="H10" s="4" t="n">
        <v>124.12</v>
      </c>
      <c r="I10" s="4" t="n">
        <v>213</v>
      </c>
      <c r="J10" s="3" t="n">
        <v>554012</v>
      </c>
      <c r="K10" s="3" t="n">
        <v>910419</v>
      </c>
      <c r="L10" s="3" t="n">
        <v>1562355</v>
      </c>
    </row>
    <row r="11">
      <c r="A11" t="n">
        <v>789</v>
      </c>
      <c r="B11" t="inlineStr">
        <is>
          <t>宇田原C</t>
        </is>
      </c>
      <c r="C11" s="2" t="inlineStr">
        <is>
          <t>4522646190991</t>
        </is>
      </c>
      <c r="D11" t="inlineStr">
        <is>
          <t>Ｓ塩おにぎり２個入り</t>
        </is>
      </c>
      <c r="E11" s="3" t="n">
        <v>3186</v>
      </c>
      <c r="F11" s="3" t="n">
        <v>3186</v>
      </c>
      <c r="G11" s="4" t="n">
        <v>49.96</v>
      </c>
      <c r="H11" s="4" t="n">
        <v>85.29000000000001</v>
      </c>
      <c r="I11" s="4" t="n">
        <v>203</v>
      </c>
      <c r="J11" s="3" t="n">
        <v>159177</v>
      </c>
      <c r="K11" s="3" t="n">
        <v>271734</v>
      </c>
      <c r="L11" s="3" t="n">
        <v>646758</v>
      </c>
    </row>
    <row r="12">
      <c r="A12" t="n">
        <v>789</v>
      </c>
      <c r="B12" t="inlineStr">
        <is>
          <t>宇田原C</t>
        </is>
      </c>
      <c r="C12" s="2" t="inlineStr">
        <is>
          <t>4522646191578</t>
        </is>
      </c>
      <c r="D12" t="inlineStr">
        <is>
          <t>Ｓ焼き飯４</t>
        </is>
      </c>
      <c r="E12" s="3" t="n">
        <v>2774</v>
      </c>
      <c r="F12" s="3" t="n">
        <v>2774</v>
      </c>
      <c r="G12" s="4" t="n">
        <v>144.79</v>
      </c>
      <c r="H12" s="4" t="n">
        <v>205.19</v>
      </c>
      <c r="I12" s="4" t="n">
        <v>354</v>
      </c>
      <c r="J12" s="3" t="n">
        <v>401413</v>
      </c>
      <c r="K12" s="3" t="n">
        <v>568964</v>
      </c>
      <c r="L12" s="3" t="n">
        <v>981996</v>
      </c>
    </row>
    <row r="13">
      <c r="A13" t="n">
        <v>789</v>
      </c>
      <c r="B13" t="inlineStr">
        <is>
          <t>宇田原C</t>
        </is>
      </c>
      <c r="C13" s="2" t="inlineStr">
        <is>
          <t>4522646191592</t>
        </is>
      </c>
      <c r="D13" t="inlineStr">
        <is>
          <t>Ｓチキンカツカレー９</t>
        </is>
      </c>
      <c r="E13" s="3" t="n">
        <v>3088</v>
      </c>
      <c r="F13" s="3" t="n">
        <v>3088</v>
      </c>
      <c r="G13" s="4" t="n">
        <v>160.16</v>
      </c>
      <c r="H13" s="4" t="n">
        <v>261.13</v>
      </c>
      <c r="I13" s="4" t="n">
        <v>429</v>
      </c>
      <c r="J13" s="3" t="n">
        <v>494574</v>
      </c>
      <c r="K13" s="3" t="n">
        <v>806370</v>
      </c>
      <c r="L13" s="3" t="n">
        <v>1324752</v>
      </c>
    </row>
    <row r="14">
      <c r="A14" t="n">
        <v>789</v>
      </c>
      <c r="B14" t="inlineStr">
        <is>
          <t>宇田原C</t>
        </is>
      </c>
      <c r="C14" s="2" t="inlineStr">
        <is>
          <t>4522646191639</t>
        </is>
      </c>
      <c r="D14" t="inlineStr">
        <is>
          <t>Ｓ鶏めし幕の内弁当３</t>
        </is>
      </c>
      <c r="E14" s="3" t="n">
        <v>4277</v>
      </c>
      <c r="F14" s="3" t="n">
        <v>4277</v>
      </c>
      <c r="G14" s="4" t="n">
        <v>196.51</v>
      </c>
      <c r="H14" s="4" t="n">
        <v>297.71</v>
      </c>
      <c r="I14" s="4" t="n">
        <v>429</v>
      </c>
      <c r="J14" s="3" t="n">
        <v>840472</v>
      </c>
      <c r="K14" s="3" t="n">
        <v>1273304</v>
      </c>
      <c r="L14" s="3" t="n">
        <v>1834833</v>
      </c>
    </row>
    <row r="15">
      <c r="A15" t="n">
        <v>789</v>
      </c>
      <c r="B15" t="inlineStr">
        <is>
          <t>宇田原C</t>
        </is>
      </c>
      <c r="C15" s="2" t="inlineStr">
        <is>
          <t>4522646198935</t>
        </is>
      </c>
      <c r="D15" t="inlineStr">
        <is>
          <t>Ｓ特選のり弁当１</t>
        </is>
      </c>
      <c r="E15" s="3" t="n">
        <v>12471</v>
      </c>
      <c r="F15" s="3" t="n">
        <v>12471</v>
      </c>
      <c r="G15" s="4" t="n">
        <v>132.21</v>
      </c>
      <c r="H15" s="4" t="n">
        <v>213.7</v>
      </c>
      <c r="I15" s="4" t="n">
        <v>321</v>
      </c>
      <c r="J15" s="3" t="n">
        <v>1648792</v>
      </c>
      <c r="K15" s="3" t="n">
        <v>2665055</v>
      </c>
      <c r="L15" s="3" t="n">
        <v>4003191</v>
      </c>
    </row>
    <row r="16">
      <c r="A16" t="n">
        <v>789</v>
      </c>
      <c r="B16" t="inlineStr">
        <is>
          <t>宇田原C</t>
        </is>
      </c>
      <c r="C16" s="2" t="inlineStr">
        <is>
          <t>4522646199444</t>
        </is>
      </c>
      <c r="D16" t="inlineStr">
        <is>
          <t>Ｓ洋食プレート（ピラフ）３</t>
        </is>
      </c>
      <c r="E16" s="3" t="n">
        <v>2614</v>
      </c>
      <c r="F16" s="3" t="n">
        <v>2614</v>
      </c>
      <c r="G16" s="4" t="n">
        <v>258.4</v>
      </c>
      <c r="H16" s="4" t="n">
        <v>350.25</v>
      </c>
      <c r="I16" s="4" t="n">
        <v>537</v>
      </c>
      <c r="J16" s="3" t="n">
        <v>679231</v>
      </c>
      <c r="K16" s="3" t="n">
        <v>919326</v>
      </c>
      <c r="L16" s="3" t="n">
        <v>1403718</v>
      </c>
    </row>
    <row r="17">
      <c r="A17" t="n">
        <v>789</v>
      </c>
      <c r="B17" t="inlineStr">
        <is>
          <t>宇田原C</t>
        </is>
      </c>
      <c r="C17" s="2" t="inlineStr">
        <is>
          <t>4522646199451</t>
        </is>
      </c>
      <c r="D17" t="inlineStr">
        <is>
          <t>Ｓ焼き飯＆チキン南蛮６</t>
        </is>
      </c>
      <c r="E17" s="3" t="n">
        <v>2986</v>
      </c>
      <c r="F17" s="3" t="n">
        <v>2986</v>
      </c>
      <c r="G17" s="4" t="n">
        <v>210.77</v>
      </c>
      <c r="H17" s="4" t="n">
        <v>325.91</v>
      </c>
      <c r="I17" s="4" t="n">
        <v>494</v>
      </c>
      <c r="J17" s="3" t="n">
        <v>629178</v>
      </c>
      <c r="K17" s="3" t="n">
        <v>972985</v>
      </c>
      <c r="L17" s="3" t="n">
        <v>1475084</v>
      </c>
    </row>
    <row r="18">
      <c r="A18" t="n">
        <v>789</v>
      </c>
      <c r="B18" t="inlineStr">
        <is>
          <t>宇田原C</t>
        </is>
      </c>
      <c r="C18" s="2" t="inlineStr">
        <is>
          <t>4522646199475</t>
        </is>
      </c>
      <c r="D18" t="inlineStr">
        <is>
          <t>Ｓ関西風焼きそば３</t>
        </is>
      </c>
      <c r="E18" s="3" t="n">
        <v>484</v>
      </c>
      <c r="F18" s="3" t="n">
        <v>484</v>
      </c>
      <c r="G18" s="4" t="n">
        <v>129.19</v>
      </c>
      <c r="H18" s="4" t="n">
        <v>204.95</v>
      </c>
      <c r="I18" s="4" t="n">
        <v>375</v>
      </c>
      <c r="J18" s="3" t="n">
        <v>62527</v>
      </c>
      <c r="K18" s="3" t="n">
        <v>99196</v>
      </c>
      <c r="L18" s="3" t="n">
        <v>181500</v>
      </c>
    </row>
    <row r="19">
      <c r="A19" t="n">
        <v>789</v>
      </c>
      <c r="B19" t="inlineStr">
        <is>
          <t>宇田原C</t>
        </is>
      </c>
      <c r="C19" s="2" t="inlineStr">
        <is>
          <t>4522646199581</t>
        </is>
      </c>
      <c r="D19" t="inlineStr">
        <is>
          <t>Ｓおはぎ２個４</t>
        </is>
      </c>
      <c r="E19" s="3" t="n">
        <v>4731</v>
      </c>
      <c r="F19" s="3" t="n">
        <v>4731</v>
      </c>
      <c r="G19" s="4" t="n">
        <v>125.06</v>
      </c>
      <c r="H19" s="4" t="n">
        <v>174.32</v>
      </c>
      <c r="I19" s="4" t="n">
        <v>240</v>
      </c>
      <c r="J19" s="3" t="n">
        <v>591657</v>
      </c>
      <c r="K19" s="3" t="n">
        <v>824706</v>
      </c>
      <c r="L19" s="3" t="n">
        <v>1135440</v>
      </c>
    </row>
    <row r="20">
      <c r="A20" t="n">
        <v>789</v>
      </c>
      <c r="B20" t="inlineStr">
        <is>
          <t>宇田原C</t>
        </is>
      </c>
      <c r="C20" s="2" t="inlineStr">
        <is>
          <t>4522646199598</t>
        </is>
      </c>
      <c r="D20" t="inlineStr">
        <is>
          <t>Ｓおはぎ３個６</t>
        </is>
      </c>
      <c r="E20" s="3" t="n">
        <v>879</v>
      </c>
      <c r="F20" s="3" t="n">
        <v>879</v>
      </c>
      <c r="G20" s="4" t="n">
        <v>178.8</v>
      </c>
      <c r="H20" s="4" t="n">
        <v>249.74</v>
      </c>
      <c r="I20" s="4" t="n">
        <v>300</v>
      </c>
      <c r="J20" s="3" t="n">
        <v>157160</v>
      </c>
      <c r="K20" s="3" t="n">
        <v>219524</v>
      </c>
      <c r="L20" s="3" t="n">
        <v>263700</v>
      </c>
    </row>
    <row r="21">
      <c r="A21" t="n">
        <v>789</v>
      </c>
      <c r="B21" t="inlineStr">
        <is>
          <t>宇田原C</t>
        </is>
      </c>
      <c r="C21" s="2" t="inlineStr">
        <is>
          <t>4522646199604</t>
        </is>
      </c>
      <c r="D21" t="inlineStr">
        <is>
          <t>Ｓきなこおはぎ２個４</t>
        </is>
      </c>
      <c r="E21" s="3" t="n">
        <v>3368</v>
      </c>
      <c r="F21" s="3" t="n">
        <v>3368</v>
      </c>
      <c r="G21" s="4" t="n">
        <v>130.19</v>
      </c>
      <c r="H21" s="4" t="n">
        <v>181.13</v>
      </c>
      <c r="I21" s="4" t="n">
        <v>240</v>
      </c>
      <c r="J21" s="3" t="n">
        <v>438482</v>
      </c>
      <c r="K21" s="3" t="n">
        <v>610045</v>
      </c>
      <c r="L21" s="3" t="n">
        <v>808320</v>
      </c>
    </row>
    <row r="22">
      <c r="A22" t="n">
        <v>789</v>
      </c>
      <c r="B22" t="inlineStr">
        <is>
          <t>宇田原C</t>
        </is>
      </c>
      <c r="C22" s="2" t="inlineStr">
        <is>
          <t>4522646199611</t>
        </is>
      </c>
      <c r="D22" t="inlineStr">
        <is>
          <t>Ｓおはぎアソート６</t>
        </is>
      </c>
      <c r="E22" s="3" t="n">
        <v>6160</v>
      </c>
      <c r="F22" s="3" t="n">
        <v>6160</v>
      </c>
      <c r="G22" s="4" t="n">
        <v>127.62</v>
      </c>
      <c r="H22" s="4" t="n">
        <v>177.72</v>
      </c>
      <c r="I22" s="4" t="n">
        <v>240</v>
      </c>
      <c r="J22" s="3" t="n">
        <v>786141</v>
      </c>
      <c r="K22" s="3" t="n">
        <v>1094755</v>
      </c>
      <c r="L22" s="3" t="n">
        <v>1478400</v>
      </c>
    </row>
    <row r="23">
      <c r="A23" t="n">
        <v>789</v>
      </c>
      <c r="B23" t="inlineStr">
        <is>
          <t>宇田原C</t>
        </is>
      </c>
      <c r="C23" s="2" t="inlineStr">
        <is>
          <t>4522646199635</t>
        </is>
      </c>
      <c r="D23" t="inlineStr">
        <is>
          <t>Ｓ小さなおはぎ（あんこ）５</t>
        </is>
      </c>
      <c r="E23" s="3" t="n">
        <v>4445</v>
      </c>
      <c r="F23" s="3" t="n">
        <v>4445</v>
      </c>
      <c r="G23" s="4" t="n">
        <v>92.69</v>
      </c>
      <c r="H23" s="4" t="n">
        <v>129.31</v>
      </c>
      <c r="I23" s="4" t="n">
        <v>199</v>
      </c>
      <c r="J23" s="3" t="n">
        <v>412006</v>
      </c>
      <c r="K23" s="3" t="n">
        <v>574785</v>
      </c>
      <c r="L23" s="3" t="n">
        <v>884555</v>
      </c>
    </row>
    <row r="24">
      <c r="A24" t="n">
        <v>789</v>
      </c>
      <c r="B24" t="inlineStr">
        <is>
          <t>宇田原C</t>
        </is>
      </c>
      <c r="C24" s="2" t="inlineStr">
        <is>
          <t>4522646199680</t>
        </is>
      </c>
      <c r="D24" t="inlineStr">
        <is>
          <t>Ｓ小さなおはぎ（きなこ）５</t>
        </is>
      </c>
      <c r="E24" s="3" t="n">
        <v>4252</v>
      </c>
      <c r="F24" s="3" t="n">
        <v>4252</v>
      </c>
      <c r="G24" s="4" t="n">
        <v>117.99</v>
      </c>
      <c r="H24" s="4" t="n">
        <v>163.67</v>
      </c>
      <c r="I24" s="4" t="n">
        <v>199</v>
      </c>
      <c r="J24" s="3" t="n">
        <v>501699</v>
      </c>
      <c r="K24" s="3" t="n">
        <v>695923</v>
      </c>
      <c r="L24" s="3" t="n">
        <v>846148</v>
      </c>
    </row>
    <row r="25">
      <c r="A25" t="n">
        <v>789</v>
      </c>
      <c r="B25" t="inlineStr">
        <is>
          <t>宇田原C</t>
        </is>
      </c>
      <c r="C25" s="2" t="inlineStr">
        <is>
          <t>4522646200461</t>
        </is>
      </c>
      <c r="D25" t="inlineStr">
        <is>
          <t>Ｓ白いたっぷり玉子サンド</t>
        </is>
      </c>
      <c r="E25" s="3" t="n">
        <v>55782</v>
      </c>
      <c r="F25" s="3" t="n">
        <v>55782</v>
      </c>
      <c r="G25" s="4" t="n">
        <v>127.85</v>
      </c>
      <c r="H25" s="4" t="n">
        <v>169.3</v>
      </c>
      <c r="I25" s="4" t="n">
        <v>199</v>
      </c>
      <c r="J25" s="3" t="n">
        <v>7167831</v>
      </c>
      <c r="K25" s="3" t="n">
        <v>9479998</v>
      </c>
      <c r="L25" s="3" t="n">
        <v>11100618</v>
      </c>
    </row>
    <row r="26">
      <c r="A26" t="n">
        <v>789</v>
      </c>
      <c r="B26" t="inlineStr">
        <is>
          <t>宇田原C</t>
        </is>
      </c>
      <c r="C26" s="2" t="inlineStr">
        <is>
          <t>4522646201581</t>
        </is>
      </c>
      <c r="D26" t="inlineStr">
        <is>
          <t>Ｓ肉肉ハンバーグ弁当</t>
        </is>
      </c>
      <c r="E26" s="3" t="n">
        <v>2894</v>
      </c>
      <c r="F26" s="3" t="n">
        <v>2894</v>
      </c>
      <c r="G26" s="4" t="n">
        <v>167.27</v>
      </c>
      <c r="H26" s="4" t="n">
        <v>265.52</v>
      </c>
      <c r="I26" s="4" t="n">
        <v>429</v>
      </c>
      <c r="J26" s="3" t="n">
        <v>484078</v>
      </c>
      <c r="K26" s="3" t="n">
        <v>768416</v>
      </c>
      <c r="L26" s="3" t="n">
        <v>1241526</v>
      </c>
    </row>
    <row r="27">
      <c r="A27" t="n">
        <v>789</v>
      </c>
      <c r="B27" t="inlineStr">
        <is>
          <t>宇田原C</t>
        </is>
      </c>
      <c r="C27" s="2" t="inlineStr">
        <is>
          <t>4522646201888</t>
        </is>
      </c>
      <c r="D27" t="inlineStr">
        <is>
          <t>Ｓ銀鮭弁当５</t>
        </is>
      </c>
      <c r="E27" s="3" t="n">
        <v>4020</v>
      </c>
      <c r="F27" s="3" t="n">
        <v>4020</v>
      </c>
      <c r="G27" s="4" t="n">
        <v>251.42</v>
      </c>
      <c r="H27" s="4" t="n">
        <v>359.18</v>
      </c>
      <c r="I27" s="4" t="n">
        <v>537</v>
      </c>
      <c r="J27" s="3" t="n">
        <v>1010710</v>
      </c>
      <c r="K27" s="3" t="n">
        <v>1443902</v>
      </c>
      <c r="L27" s="3" t="n">
        <v>2158740</v>
      </c>
    </row>
    <row r="28">
      <c r="A28" t="inlineStr">
        <is>
          <t>合計</t>
        </is>
      </c>
      <c r="E28" s="3">
        <f>SUM(E2:E27)</f>
        <v/>
      </c>
      <c r="F28" s="3">
        <f>SUM(F2:F27)</f>
        <v/>
      </c>
      <c r="G28" s="4" t="n"/>
      <c r="H28" s="4" t="n"/>
      <c r="I28" s="4" t="n"/>
      <c r="J28" s="3">
        <f>SUM(J2:J27)</f>
        <v/>
      </c>
      <c r="K28" s="3">
        <f>SUM(K2:K27)</f>
        <v/>
      </c>
      <c r="L28" s="3">
        <f>SUM(L2:L27)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2026-10-19T04:37:30Z</dcterms:created>
  <dcterms:modified xmlns:dcterms="http://purl.org/dc/terms/" xmlns:xsi="http://www.w3.org/2001/XMLSchema-instance" xsi:type="dcterms:W3CDTF">2026-10-19T04:37:30Z</dcterms:modified>
</cp:coreProperties>
</file>