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投資回収_月次" sheetId="3" state="visible" r:id="rId5"/>
    <sheet name="年度別_償却" sheetId="4" state="visible" r:id="rId6"/>
    <sheet name="予算原本_白鳥惣菜" sheetId="5" state="visible" r:id="rId7"/>
    <sheet name="白鳥惣菜PL_導入効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<sst xmlns="http://schemas.openxmlformats.org/spreadsheetml/2006/main" count="431" uniqueCount="344">
  <si>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</si>
  <si>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</si>
  <si>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</si>
  <si>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</si>
  <si>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</si>
  <si>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</si>
  <si>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投資額（取得価額）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</si>
  <si>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</si>
  <si>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</si>
  <si>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</si>
  <si>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</si>
  <si>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</si>
  <si>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</si>
  <si>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</si>
  <si>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</si>
  <si>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取得価額 </t>
    </r>
    <r>
      <rPr>
        <sz val="9"/>
        <color rgb="FF808080"/>
        <rFont val="Meiryo UI"/>
        <family val="0"/>
        <charset val="1"/>
      </rPr>
      <t xml:space="preserve">÷ 120</t>
    </r>
    <r>
      <rPr>
        <sz val="9"/>
        <color rgb="FF808080"/>
        <rFont val="WenQuanYi Zen Hei"/>
        <family val="2"/>
      </rPr>
      <t xml:space="preserve">か月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</si>
  <si>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</si>
  <si>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</si>
  <si>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</si>
  <si>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</si>
  <si>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</si>
  <si>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</si>
  <si>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</si>
  <si>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</si>
  <si>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</si>
  <si>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</si>
  <si>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</si>
  <si>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</si>
  <si>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</si>
  <si>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</si>
  <si>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</si>
  <si>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</si>
  <si>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</si>
  <si>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</si>
  <si>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</si>
  <si>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</si>
  <si>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</si>
  <si>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</si>
  <si>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</si>
  <si>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</si>
  <si>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</si>
  <si>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</si>
  <si>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</si>
  <si>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</si>
  <si>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</si>
  <si>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</si>
  <si>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</si>
  <si>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</si>
  <si>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</si>
  <si>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</si>
  <si>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</si>
  <si>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</si>
  <si>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</si>
  <si>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</si>
  <si>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</si>
  <si>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</si>
  <si>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</si>
  <si>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</si>
  <si>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</si>
  <si>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</si>
  <si>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</si>
  <si>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投資額（充填機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</si>
  <si>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</si>
  <si>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</si>
  <si>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</si>
  <si>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</si>
  <si>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付帯費用（搬入・設置・試運転）</t>
  </si>
  <si>
    <t xml:space="preserve">見積に含まれていなければ入力</t>
  </si>
  <si>
    <t xml:space="preserve">取得価額合計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</si>
  <si>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</si>
  <si>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</si>
  <si>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</si>
  <si>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</si>
  <si>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</si>
  <si>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</si>
  <si>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</si>
  <si>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</si>
  <si>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</si>
  <si>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</si>
  <si>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</si>
  <si>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</si>
  <si>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</si>
  <si>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</si>
  <si>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</si>
  <si>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</si>
  <si>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</si>
  <si>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</si>
  <si>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</si>
  <si>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</si>
  <si>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</si>
  <si>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</si>
  <si>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</si>
  <si>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</si>
  <si>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</si>
  <si>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</si>
  <si>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</si>
  <si>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</si>
  <si>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</si>
  <si>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</si>
  <si>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</si>
  <si>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</si>
  <si>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</si>
  <si>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</si>
  <si>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</si>
  <si>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</si>
  <si>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</si>
  <si>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</si>
  <si>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</si>
  <si>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</si>
  <si>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</si>
  <si>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</si>
  <si>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</si>
  <si>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</si>
  <si>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</si>
  <si>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</si>
  <si>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</si>
  <si>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</si>
  <si>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</si>
  <si>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</si>
  <si>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</si>
  <si>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</si>
  <si>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</si>
  <si>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</si>
  <si>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</si>
  <si>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</si>
  <si>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</si>
  <si>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</si>
  <si>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</si>
  <si>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</si>
  <si>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</si>
  <si>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</si>
  <si>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</si>
  <si>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</si>
  <si>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</si>
  <si>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t xml:space="preserve">出典：現場資料の工程表（開始・終了・人数）</t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</si>
  <si>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</si>
  <si>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</si>
  <si>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</si>
  <si>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</si>
  <si>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</si>
  <si>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</si>
  <si>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</si>
  <si>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</si>
  <si>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</si>
  <si>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</si>
  <si>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</si>
  <si>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</si>
  <si>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</si>
  <si>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</si>
  <si>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</si>
  <si>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</si>
  <si>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</si>
  <si>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</si>
  <si>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</si>
  <si>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</si>
  <si>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</si>
  <si>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</si>
  <si>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</si>
  <si>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</si>
  <si>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</si>
  <si>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</si>
  <si>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</si>
  <si>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</si>
  <si>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</si>
  <si>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</si>
  <si>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</si>
  <si>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</si>
  <si>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</si>
  <si>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</si>
  <si>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</si>
  <si>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</si>
  <si>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</si>
  <si>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</si>
  <si>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</si>
  <si>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</si>
  <si>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</si>
  <si>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</si>
  <si>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取得価額 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</si>
  <si>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</si>
  <si>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</si>
  <si>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</si>
  <si>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</si>
  <si>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</si>
  <si>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</si>
  <si>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</si>
  <si>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</si>
  <si>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</si>
  <si>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</si>
  <si>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</si>
  <si>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</si>
  <si>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</si>
  <si>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</si>
  <si>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</si>
  <si>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</si>
  <si>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</si>
  <si>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</si>
  <si>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</si>
  <si>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t xml:space="preserve">減価償却費</t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</si>
  <si>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</si>
  <si>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</si>
  <si>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</si>
  <si>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</si>
  <si>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</si>
  <si>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</si>
  <si>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</si>
  <si>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</si>
  <si>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</si>
  <si>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</si>
  <si>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</si>
  <si>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＝人件費・絞り袋の削減額から電気・洗浄・保守部品費を差し引いた手残り（減価償却前）。投資回収はこの累計で判定。</t>
    </r>
  </si>
  <si>
    <r>
      <rPr>
        <sz val="9"/>
        <color rgb="FF000000"/>
        <rFont val="WenQuanYi Zen Hei"/>
        <family val="2"/>
      </rPr>
      <t xml:space="preserve">・利益影響＝純効果 − 減価償却費。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（経常利益）に表れる金額。初年度から毎期プラス。</t>
    </r>
  </si>
  <si>
    <t xml:space="preserve">・黄色の行＝投資額を回収し終える期。</t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</si>
  <si>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</si>
  <si>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</si>
  <si>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</si>
  <si>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</si>
  <si>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</si>
  <si>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</si>
  <si>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</si>
  <si>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</si>
  <si>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</si>
  <si>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</si>
  <si>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</si>
  <si>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</si>
  <si>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</si>
  <si>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商品卸売上高</t>
  </si>
  <si>
    <t xml:space="preserve">荒利益高</t>
  </si>
  <si>
    <t xml:space="preserve">物流フィ高</t>
  </si>
  <si>
    <t xml:space="preserve">物流フィ高及びサービスリサイクル料等</t>
  </si>
  <si>
    <t xml:space="preserve">手数料等売上高</t>
  </si>
  <si>
    <t xml:space="preserve">手数料等</t>
  </si>
  <si>
    <t xml:space="preserve">④その他売上高</t>
  </si>
  <si>
    <t xml:space="preserve">販売奨励金</t>
  </si>
  <si>
    <t xml:space="preserve">   人件費</t>
  </si>
  <si>
    <t xml:space="preserve">社員給与</t>
  </si>
  <si>
    <t xml:space="preserve">契約社員人件費</t>
  </si>
  <si>
    <t xml:space="preserve">雑   給</t>
  </si>
  <si>
    <t xml:space="preserve">派遣代</t>
  </si>
  <si>
    <t xml:space="preserve">賞   与</t>
  </si>
  <si>
    <t xml:space="preserve">法定福利費</t>
  </si>
  <si>
    <t xml:space="preserve">福利厚生費</t>
  </si>
  <si>
    <t xml:space="preserve">按分対象者人件費</t>
  </si>
  <si>
    <t xml:space="preserve">採用教育・退職金</t>
  </si>
  <si>
    <t xml:space="preserve">   広告・販促費</t>
  </si>
  <si>
    <t xml:space="preserve">広告費</t>
  </si>
  <si>
    <t xml:space="preserve">販売促進費</t>
  </si>
  <si>
    <t xml:space="preserve">   不動産費</t>
  </si>
  <si>
    <t xml:space="preserve">地   代</t>
  </si>
  <si>
    <t xml:space="preserve">減価償却相当分設備費</t>
  </si>
  <si>
    <t xml:space="preserve">家   賃</t>
  </si>
  <si>
    <t xml:space="preserve">一般管理費</t>
  </si>
  <si>
    <t xml:space="preserve">消耗品費</t>
  </si>
  <si>
    <t xml:space="preserve">保険料</t>
  </si>
  <si>
    <t xml:space="preserve">修繕費</t>
  </si>
  <si>
    <t xml:space="preserve">租税公課</t>
  </si>
  <si>
    <t xml:space="preserve">燃料費（租税）</t>
  </si>
  <si>
    <t xml:space="preserve">旅費交通費</t>
  </si>
  <si>
    <t xml:space="preserve">通信費</t>
  </si>
  <si>
    <t xml:space="preserve">水道光熱費重油ガス代</t>
  </si>
  <si>
    <t xml:space="preserve">手数料</t>
  </si>
  <si>
    <t xml:space="preserve">発送配達費（運賃）</t>
  </si>
  <si>
    <t xml:space="preserve">物流費（料率）</t>
  </si>
  <si>
    <t xml:space="preserve">物流費（料率外）</t>
  </si>
  <si>
    <t xml:space="preserve">支払手数料</t>
  </si>
  <si>
    <t xml:space="preserve">車両費</t>
  </si>
  <si>
    <t xml:space="preserve">新聞図書費</t>
  </si>
  <si>
    <t xml:space="preserve">リース料</t>
  </si>
  <si>
    <t xml:space="preserve">顧問料</t>
  </si>
  <si>
    <t xml:space="preserve">雑   費</t>
  </si>
  <si>
    <t xml:space="preserve">保守契約料</t>
  </si>
  <si>
    <t xml:space="preserve">外注費（派遣など）</t>
  </si>
  <si>
    <t xml:space="preserve">経費合計</t>
  </si>
  <si>
    <t xml:space="preserve">受取家賃</t>
  </si>
  <si>
    <t xml:space="preserve">営業利益高</t>
  </si>
  <si>
    <t xml:space="preserve">営業外収益</t>
  </si>
  <si>
    <t xml:space="preserve">営業外費用</t>
  </si>
  <si>
    <t xml:space="preserve">本部費</t>
  </si>
  <si>
    <t xml:space="preserve">システム開発費</t>
  </si>
  <si>
    <t xml:space="preserve">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</si>
  <si>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</si>
  <si>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</si>
  <si>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</si>
  <si>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</si>
  <si>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</si>
  <si>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</si>
  <si>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</si>
  <si>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</si>
  <si>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</si>
  <si>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</si>
  <si>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</si>
  <si>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</si>
  <si>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</si>
  <si>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</si>
  <si>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</si>
  <si>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</si>
  <si>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</si>
  <si>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</si>
  <si>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</si>
  <si>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</si>
  <si>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</si>
  <si>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</si>
  <si>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</si>
  <si>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</si>
  <si>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</si>
  <si>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</si>
  <si>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</si>
  <si>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</si>
  <si>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</si>
  <si>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</si>
  <si>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売上高</t>
  </si>
  <si>
    <t xml:space="preserve">人件費</t>
  </si>
  <si>
    <t xml:space="preserve">　　うち 雑給（パート）</t>
  </si>
  <si>
    <t xml:space="preserve">不動産費</t>
  </si>
  <si>
    <t xml:space="preserve">　　うち 消耗品費</t>
  </si>
  <si>
    <t xml:space="preserve">　　うち 水道光熱費</t>
  </si>
  <si>
    <t xml:space="preserve">　　うち 修繕費</t>
  </si>
  <si>
    <t xml:space="preserve">　　うち 減価償却費</t>
  </si>
  <si>
    <t xml:space="preserve">営業利益</t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</si>
  <si>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</si>
  <si>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</si>
  <si>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</si>
  <si>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</si>
  <si>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</si>
  <si>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</si>
  <si>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</si>
  <si>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</si>
  <si>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</si>
  <si>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</si>
  <si>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</si>
  <si>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万円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か月＝</t>
    </r>
    <r>
      <rPr>
        <sz val="9"/>
        <color rgb="FF808080"/>
        <rFont val="Meiryo UI"/>
        <family val="0"/>
        <charset val="1"/>
      </rPr>
      <t xml:space="preserve">37.5</t>
    </r>
    <r>
      <rPr>
        <sz val="9"/>
        <color rgb="FF808080"/>
        <rFont val="WenQuanYi Zen Hei"/>
        <family val="2"/>
      </rPr>
      <t xml:space="preserve">千円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月</t>
    </r>
  </si>
  <si>
    <t xml:space="preserve">経費増減 合計</t>
  </si>
  <si>
    <t xml:space="preserve">経常利益への影響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</si>
  <si>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</si>
  <si>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</si>
  <si>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</si>
  <si>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</t>
    </r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</si>
  <si>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</si>
  <si>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</si>
  <si>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</si>
  <si>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</si>
  <si>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</si>
  <si>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月以降の全月で予算を上回る（償却費を効果で吸収）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</si>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</sst>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0&quot;か月&quot;"/>
    <numFmt numFmtId="170" formatCode="yyyy\年m\月"/>
    <numFmt numFmtId="171" formatCode="\+#,##0\円;[RED]\▲#,##0\円"/>
    <numFmt numFmtId="172" formatCode="0.0%"/>
    <numFmt numFmtId="173" formatCode="0.0&quot;時間/日&quot;"/>
    <numFmt numFmtId="174" formatCode="#,##0&quot;円/日&quot;"/>
    <numFmt numFmtId="175" formatCode="#,##0&quot;円/日&quot;;[RED]\▲#,##0&quot;円/日&quot;"/>
    <numFmt numFmtId="176" formatCode="#,##0;[RED]\▲#,##0;\-"/>
    <numFmt numFmtId="177" formatCode="0"/>
    <numFmt numFmtId="178" formatCode="yyyy/m/d"/>
    <numFmt numFmtId="179" formatCode="0.0"/>
    <numFmt numFmtId="180" formatCode="0.0%;[RED]\▲0.0%;\-"/>
    <numFmt numFmtId="181" formatCode="h:mm"/>
    <numFmt numFmtId="182" formatCode="0.00"/>
    <numFmt numFmtId="183" formatCode="yyyy/m"/>
    <numFmt numFmtId="184" formatCode="0\期"/>
    <numFmt numFmtId="185" formatCode="0%"/>
    <numFmt numFmtId="186" formatCode="#,##0.0;[RED]\▲#,##0.0;\-"/>
    <numFmt numFmtId="187" formatCode="0;\-0;\-"/>
    <numFmt numFmtId="188" formatCode="0.0\倍"/>
    <numFmt numFmtId="189" formatCode="0.00%;[RED]\▲0.00%;\-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WenQuanYi Zen Hei"/>
      <family val="2"/>
    </font>
    <font>
      <sz val="10"/>
      <color rgb="FF0000FF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87878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サマリー!B32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サマリー!$C$31:$H$31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サマリー!$C$32:$H$32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サマリー!B33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サマリー!$C$31:$H$31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サマリー!$C$33:$H$33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-2379.17370000003</c:v>
                </c:pt>
                <c:pt idx="2">
                  <c:v>3665.62929999999</c:v>
                </c:pt>
                <c:pt idx="3">
                  <c:v>3943.26829999998</c:v>
                </c:pt>
                <c:pt idx="4">
                  <c:v>2621.52929999998</c:v>
                </c:pt>
                <c:pt idx="5">
                  <c:v>-3519.46310000001</c:v>
                </c:pt>
              </c:numCache>
            </c:numRef>
          </c:val>
        </c:ser>
        <c:gapWidth val="150"/>
        <c:overlap val="0"/>
        <c:axId val="66535795"/>
        <c:axId val="98055325"/>
      </c:barChart>
      <c:catAx>
        <c:axId val="665357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55325"/>
        <c:crosses val="autoZero"/>
        <c:auto val="1"/>
        <c:lblAlgn val="ctr"/>
        <c:lblOffset val="100"/>
        <c:noMultiLvlLbl val="0"/>
      </c:catAx>
      <c:valAx>
        <c:axId val="98055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357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223808</c:v>
                </c:pt>
                <c:pt idx="1">
                  <c:v>472399</c:v>
                </c:pt>
                <c:pt idx="2">
                  <c:v>712729</c:v>
                </c:pt>
                <c:pt idx="3">
                  <c:v>961320</c:v>
                </c:pt>
                <c:pt idx="4">
                  <c:v>1201650</c:v>
                </c:pt>
                <c:pt idx="5">
                  <c:v>1450241</c:v>
                </c:pt>
                <c:pt idx="6">
                  <c:v>1698832</c:v>
                </c:pt>
                <c:pt idx="7">
                  <c:v>1939162</c:v>
                </c:pt>
                <c:pt idx="8">
                  <c:v>2187753</c:v>
                </c:pt>
                <c:pt idx="9">
                  <c:v>2428083</c:v>
                </c:pt>
                <c:pt idx="10">
                  <c:v>2676674</c:v>
                </c:pt>
                <c:pt idx="11">
                  <c:v>2925265</c:v>
                </c:pt>
                <c:pt idx="12">
                  <c:v>3157334</c:v>
                </c:pt>
                <c:pt idx="13">
                  <c:v>3405925</c:v>
                </c:pt>
                <c:pt idx="14">
                  <c:v>3646255</c:v>
                </c:pt>
                <c:pt idx="15">
                  <c:v>3894846</c:v>
                </c:pt>
                <c:pt idx="16">
                  <c:v>4135176</c:v>
                </c:pt>
                <c:pt idx="17">
                  <c:v>4383767</c:v>
                </c:pt>
                <c:pt idx="18">
                  <c:v>4632358</c:v>
                </c:pt>
                <c:pt idx="19">
                  <c:v>4872688</c:v>
                </c:pt>
                <c:pt idx="20">
                  <c:v>5121279</c:v>
                </c:pt>
                <c:pt idx="21">
                  <c:v>5361609</c:v>
                </c:pt>
                <c:pt idx="22">
                  <c:v>5610200</c:v>
                </c:pt>
                <c:pt idx="23">
                  <c:v>5858791</c:v>
                </c:pt>
                <c:pt idx="24">
                  <c:v>6082599</c:v>
                </c:pt>
                <c:pt idx="25">
                  <c:v>6331190</c:v>
                </c:pt>
                <c:pt idx="26">
                  <c:v>6571520</c:v>
                </c:pt>
                <c:pt idx="27">
                  <c:v>6820111</c:v>
                </c:pt>
                <c:pt idx="28">
                  <c:v>7060441</c:v>
                </c:pt>
                <c:pt idx="29">
                  <c:v>7309032</c:v>
                </c:pt>
                <c:pt idx="30">
                  <c:v>7557623</c:v>
                </c:pt>
                <c:pt idx="31">
                  <c:v>7797953</c:v>
                </c:pt>
                <c:pt idx="32">
                  <c:v>8046544</c:v>
                </c:pt>
                <c:pt idx="33">
                  <c:v>8286874</c:v>
                </c:pt>
                <c:pt idx="34">
                  <c:v>8535465</c:v>
                </c:pt>
                <c:pt idx="35">
                  <c:v>8784056</c:v>
                </c:pt>
                <c:pt idx="36">
                  <c:v>9007864</c:v>
                </c:pt>
                <c:pt idx="37">
                  <c:v>9256455</c:v>
                </c:pt>
                <c:pt idx="38">
                  <c:v>9496785</c:v>
                </c:pt>
                <c:pt idx="39">
                  <c:v>9745376</c:v>
                </c:pt>
                <c:pt idx="40">
                  <c:v>9985706</c:v>
                </c:pt>
                <c:pt idx="41">
                  <c:v>10234297</c:v>
                </c:pt>
                <c:pt idx="42">
                  <c:v>10482888</c:v>
                </c:pt>
                <c:pt idx="43">
                  <c:v>10723218</c:v>
                </c:pt>
                <c:pt idx="44">
                  <c:v>10971809</c:v>
                </c:pt>
                <c:pt idx="45">
                  <c:v>11212139</c:v>
                </c:pt>
                <c:pt idx="46">
                  <c:v>11460730</c:v>
                </c:pt>
                <c:pt idx="47">
                  <c:v>11709321</c:v>
                </c:pt>
                <c:pt idx="48">
                  <c:v>11933129</c:v>
                </c:pt>
                <c:pt idx="49">
                  <c:v>12181720</c:v>
                </c:pt>
                <c:pt idx="50">
                  <c:v>12422050</c:v>
                </c:pt>
                <c:pt idx="51">
                  <c:v>12670641</c:v>
                </c:pt>
                <c:pt idx="52">
                  <c:v>12910971</c:v>
                </c:pt>
                <c:pt idx="53">
                  <c:v>13159562</c:v>
                </c:pt>
                <c:pt idx="54">
                  <c:v>13408153</c:v>
                </c:pt>
                <c:pt idx="55">
                  <c:v>13648483</c:v>
                </c:pt>
                <c:pt idx="56">
                  <c:v>13897074</c:v>
                </c:pt>
                <c:pt idx="57">
                  <c:v>14137404</c:v>
                </c:pt>
                <c:pt idx="58">
                  <c:v>14385995</c:v>
                </c:pt>
                <c:pt idx="59">
                  <c:v>14634586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186308</c:v>
                </c:pt>
                <c:pt idx="1">
                  <c:v>397399</c:v>
                </c:pt>
                <c:pt idx="2">
                  <c:v>600229</c:v>
                </c:pt>
                <c:pt idx="3">
                  <c:v>811320</c:v>
                </c:pt>
                <c:pt idx="4">
                  <c:v>1014150</c:v>
                </c:pt>
                <c:pt idx="5">
                  <c:v>1225241</c:v>
                </c:pt>
                <c:pt idx="6">
                  <c:v>1436332</c:v>
                </c:pt>
                <c:pt idx="7">
                  <c:v>1639162</c:v>
                </c:pt>
                <c:pt idx="8">
                  <c:v>1850253</c:v>
                </c:pt>
                <c:pt idx="9">
                  <c:v>2053083</c:v>
                </c:pt>
                <c:pt idx="10">
                  <c:v>2264174</c:v>
                </c:pt>
                <c:pt idx="11">
                  <c:v>2475265</c:v>
                </c:pt>
                <c:pt idx="12">
                  <c:v>2669834</c:v>
                </c:pt>
                <c:pt idx="13">
                  <c:v>2880925</c:v>
                </c:pt>
                <c:pt idx="14">
                  <c:v>3083755</c:v>
                </c:pt>
                <c:pt idx="15">
                  <c:v>3294846</c:v>
                </c:pt>
                <c:pt idx="16">
                  <c:v>3497676</c:v>
                </c:pt>
                <c:pt idx="17">
                  <c:v>3708767</c:v>
                </c:pt>
                <c:pt idx="18">
                  <c:v>3919858</c:v>
                </c:pt>
                <c:pt idx="19">
                  <c:v>4122688</c:v>
                </c:pt>
                <c:pt idx="20">
                  <c:v>4333779</c:v>
                </c:pt>
                <c:pt idx="21">
                  <c:v>4536609</c:v>
                </c:pt>
                <c:pt idx="22">
                  <c:v>4747700</c:v>
                </c:pt>
                <c:pt idx="23">
                  <c:v>4958791</c:v>
                </c:pt>
                <c:pt idx="24">
                  <c:v>5145099</c:v>
                </c:pt>
                <c:pt idx="25">
                  <c:v>5356190</c:v>
                </c:pt>
                <c:pt idx="26">
                  <c:v>5559020</c:v>
                </c:pt>
                <c:pt idx="27">
                  <c:v>5770111</c:v>
                </c:pt>
                <c:pt idx="28">
                  <c:v>5972941</c:v>
                </c:pt>
                <c:pt idx="29">
                  <c:v>6184032</c:v>
                </c:pt>
                <c:pt idx="30">
                  <c:v>6395123</c:v>
                </c:pt>
                <c:pt idx="31">
                  <c:v>6597953</c:v>
                </c:pt>
                <c:pt idx="32">
                  <c:v>6809044</c:v>
                </c:pt>
                <c:pt idx="33">
                  <c:v>7011874</c:v>
                </c:pt>
                <c:pt idx="34">
                  <c:v>7222965</c:v>
                </c:pt>
                <c:pt idx="35">
                  <c:v>7434056</c:v>
                </c:pt>
                <c:pt idx="36">
                  <c:v>7620364</c:v>
                </c:pt>
                <c:pt idx="37">
                  <c:v>7831455</c:v>
                </c:pt>
                <c:pt idx="38">
                  <c:v>8034285</c:v>
                </c:pt>
                <c:pt idx="39">
                  <c:v>8245376</c:v>
                </c:pt>
                <c:pt idx="40">
                  <c:v>8448206</c:v>
                </c:pt>
                <c:pt idx="41">
                  <c:v>8659297</c:v>
                </c:pt>
                <c:pt idx="42">
                  <c:v>8870388</c:v>
                </c:pt>
                <c:pt idx="43">
                  <c:v>9073218</c:v>
                </c:pt>
                <c:pt idx="44">
                  <c:v>9284309</c:v>
                </c:pt>
                <c:pt idx="45">
                  <c:v>9487139</c:v>
                </c:pt>
                <c:pt idx="46">
                  <c:v>9698230</c:v>
                </c:pt>
                <c:pt idx="47">
                  <c:v>9909321</c:v>
                </c:pt>
                <c:pt idx="48">
                  <c:v>10095629</c:v>
                </c:pt>
                <c:pt idx="49">
                  <c:v>10306720</c:v>
                </c:pt>
                <c:pt idx="50">
                  <c:v>10509550</c:v>
                </c:pt>
                <c:pt idx="51">
                  <c:v>10720641</c:v>
                </c:pt>
                <c:pt idx="52">
                  <c:v>10923471</c:v>
                </c:pt>
                <c:pt idx="53">
                  <c:v>11134562</c:v>
                </c:pt>
                <c:pt idx="54">
                  <c:v>11345653</c:v>
                </c:pt>
                <c:pt idx="55">
                  <c:v>11548483</c:v>
                </c:pt>
                <c:pt idx="56">
                  <c:v>11759574</c:v>
                </c:pt>
                <c:pt idx="57">
                  <c:v>11962404</c:v>
                </c:pt>
                <c:pt idx="58">
                  <c:v>12173495</c:v>
                </c:pt>
                <c:pt idx="59">
                  <c:v>12384586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821797"/>
        <c:axId val="50199062"/>
      </c:lineChart>
      <c:catAx>
        <c:axId val="908217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99062"/>
        <c:crosses val="autoZero"/>
        <c:auto val="1"/>
        <c:lblAlgn val="ctr"/>
        <c:lblOffset val="100"/>
        <c:noMultiLvlLbl val="0"/>
      </c:catAx>
      <c:valAx>
        <c:axId val="50199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217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1201650</c:v>
                </c:pt>
                <c:pt idx="1">
                  <c:v>2933526</c:v>
                </c:pt>
                <c:pt idx="2">
                  <c:v>2925265</c:v>
                </c:pt>
                <c:pt idx="3">
                  <c:v>2925265</c:v>
                </c:pt>
                <c:pt idx="4">
                  <c:v>2925265</c:v>
                </c:pt>
                <c:pt idx="5">
                  <c:v>2933526</c:v>
                </c:pt>
                <c:pt idx="6">
                  <c:v>2925265</c:v>
                </c:pt>
                <c:pt idx="7">
                  <c:v>2925265</c:v>
                </c:pt>
                <c:pt idx="8">
                  <c:v>2925265</c:v>
                </c:pt>
                <c:pt idx="9">
                  <c:v>2933526</c:v>
                </c:pt>
                <c:pt idx="10">
                  <c:v>1723615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gapWidth val="150"/>
        <c:overlap val="0"/>
        <c:axId val="21397055"/>
        <c:axId val="21807801"/>
      </c:barChart>
      <c:catAx>
        <c:axId val="21397055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07801"/>
        <c:crosses val="autoZero"/>
        <c:auto val="1"/>
        <c:lblAlgn val="ctr"/>
        <c:lblOffset val="100"/>
        <c:noMultiLvlLbl val="0"/>
      </c:catAx>
      <c:valAx>
        <c:axId val="218078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970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白鳥惣菜PL_導入効果!$C$52:$N$52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白鳥惣菜PL_導入効果!$C$53:$N$53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-2379.17370000003</c:v>
                </c:pt>
                <c:pt idx="8">
                  <c:v>3665.62929999999</c:v>
                </c:pt>
                <c:pt idx="9">
                  <c:v>3943.26829999998</c:v>
                </c:pt>
                <c:pt idx="10">
                  <c:v>2621.52929999998</c:v>
                </c:pt>
                <c:pt idx="11">
                  <c:v>-3519.46310000001</c:v>
                </c:pt>
              </c:numCache>
            </c:numRef>
          </c:val>
        </c:ser>
        <c:gapWidth val="150"/>
        <c:overlap val="0"/>
        <c:axId val="26492888"/>
        <c:axId val="59722139"/>
      </c:barChart>
      <c:catAx>
        <c:axId val="2649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22139"/>
        <c:crosses val="autoZero"/>
        <c:auto val="1"/>
        <c:lblAlgn val="ctr"/>
        <c:lblOffset val="100"/>
        <c:noMultiLvlLbl val="0"/>
      </c:catAx>
      <c:valAx>
        <c:axId val="597221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928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47</xdr:row>
      <xdr:rowOff>102960</xdr:rowOff>
    </xdr:from>
    <xdr:to>
      <xdr:col>5</xdr:col>
      <xdr:colOff>402840</xdr:colOff>
      <xdr:row>61</xdr:row>
      <xdr:rowOff>135360</xdr:rowOff>
    </xdr:to>
    <xdr:graphicFrame>
      <xdr:nvGraphicFramePr>
        <xdr:cNvPr id="0" name="Chart 1"/>
        <xdr:cNvGraphicFramePr/>
      </xdr:nvGraphicFramePr>
      <xdr:xfrm>
        <a:off x="141120" y="9334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5</xdr:row>
      <xdr:rowOff>134640</xdr:rowOff>
    </xdr:from>
    <xdr:to>
      <xdr:col>28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365120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7</xdr:col>
      <xdr:colOff>699840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9</xdr:col>
      <xdr:colOff>622440</xdr:colOff>
      <xdr:row>73</xdr:row>
      <xdr:rowOff>156600</xdr:rowOff>
    </xdr:to>
    <xdr:graphicFrame>
      <xdr:nvGraphicFramePr>
        <xdr:cNvPr id="3" name="Chart 1"/>
        <xdr:cNvGraphicFramePr/>
      </xdr:nvGraphicFramePr>
      <xdr:xfrm>
        <a:off x="141120" y="11430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2" customFormat="false" ht="15" hidden="false" customHeight="false" outlineLevel="0" collapsed="false">
      <c r="B12" s="3" t="s">
        <v>11</v>
      </c>
      <c r="C12" s="4"/>
      <c r="D12" s="4"/>
      <c r="E12" s="4"/>
      <c r="F12" s="4"/>
      <c r="G12" s="4"/>
      <c r="H12" s="4"/>
      <c r="I12" s="4"/>
    </row>
    <row r="13" customFormat="false" ht="17.15" hidden="false" customHeight="false" outlineLevel="0" collapsed="false">
      <c r="B13" s="10" t="s">
        <v>12</v>
      </c>
      <c r="C13" s="11" t="n">
        <f aca="false">前提条件!C76</f>
        <v>243772.083333333</v>
      </c>
      <c r="D13" s="12" t="s">
        <v>13</v>
      </c>
    </row>
    <row r="14" customFormat="false" ht="17.15" hidden="false" customHeight="false" outlineLevel="0" collapsed="false">
      <c r="B14" s="10" t="s">
        <v>14</v>
      </c>
      <c r="C14" s="11" t="n">
        <f aca="false">前提条件!C10</f>
        <v>37500</v>
      </c>
      <c r="D14" s="12" t="s">
        <v>15</v>
      </c>
    </row>
    <row r="15" customFormat="false" ht="17.15" hidden="false" customHeight="false" outlineLevel="0" collapsed="false">
      <c r="B15" s="10" t="s">
        <v>16</v>
      </c>
      <c r="C15" s="11" t="n">
        <f aca="false">前提条件!C79</f>
        <v>206272.083333333</v>
      </c>
      <c r="D15" s="12" t="s">
        <v>17</v>
      </c>
    </row>
    <row r="16" customFormat="false" ht="17.15" hidden="false" customHeight="false" outlineLevel="0" collapsed="false">
      <c r="B16" s="10" t="s">
        <v>18</v>
      </c>
      <c r="C16" s="13" t="n">
        <f aca="false">投資回収_月次!D4</f>
        <v>19</v>
      </c>
      <c r="D16" s="12"/>
    </row>
    <row r="17" customFormat="false" ht="17.15" hidden="false" customHeight="false" outlineLevel="0" collapsed="false">
      <c r="B17" s="10" t="s">
        <v>19</v>
      </c>
      <c r="C17" s="14" t="n">
        <f aca="false">投資回収_月次!G4</f>
        <v>46966</v>
      </c>
      <c r="D17" s="12"/>
    </row>
    <row r="18" customFormat="false" ht="17.15" hidden="false" customHeight="false" outlineLevel="0" collapsed="false">
      <c r="B18" s="10" t="s">
        <v>20</v>
      </c>
      <c r="C18" s="15" t="str">
        <f aca="false">投資回収_月次!K4</f>
        <v>◎ 5年以内に回収</v>
      </c>
      <c r="D18" s="12"/>
    </row>
    <row r="19" customFormat="false" ht="17.15" hidden="false" customHeight="false" outlineLevel="0" collapsed="false">
      <c r="B19" s="16" t="s">
        <v>21</v>
      </c>
      <c r="C19" s="17" t="n">
        <f aca="false">白鳥惣菜PL_導入効果!P54*1000</f>
        <v>1014150</v>
      </c>
      <c r="D19" s="12" t="s">
        <v>22</v>
      </c>
    </row>
    <row r="20" customFormat="false" ht="17.15" hidden="false" customHeight="false" outlineLevel="0" collapsed="false">
      <c r="B20" s="16" t="s">
        <v>23</v>
      </c>
      <c r="C20" s="11" t="n">
        <f aca="false">年度別_償却!G16</f>
        <v>24777433</v>
      </c>
      <c r="D20" s="12"/>
    </row>
    <row r="21" customFormat="false" ht="15" hidden="false" customHeight="false" outlineLevel="0" collapsed="false">
      <c r="B21" s="10" t="s">
        <v>24</v>
      </c>
      <c r="C21" s="18" t="n">
        <f aca="false">前提条件!C82</f>
        <v>0.199439505937259</v>
      </c>
      <c r="D21" s="12" t="s">
        <v>25</v>
      </c>
    </row>
    <row r="23" customFormat="false" ht="15" hidden="false" customHeight="false" outlineLevel="0" collapsed="false">
      <c r="B23" s="19" t="s">
        <v>26</v>
      </c>
      <c r="C23" s="4"/>
      <c r="D23" s="4"/>
      <c r="E23" s="4"/>
      <c r="F23" s="4"/>
      <c r="G23" s="4"/>
      <c r="H23" s="4"/>
      <c r="I23" s="4"/>
    </row>
    <row r="24" customFormat="false" ht="15" hidden="false" customHeight="false" outlineLevel="0" collapsed="false">
      <c r="B24" s="5" t="s">
        <v>27</v>
      </c>
      <c r="C24" s="20" t="n">
        <f aca="false">前提条件!C63</f>
        <v>5.58333333333333</v>
      </c>
      <c r="D24" s="12" t="str">
        <f aca="false">"現行 "&amp;TEXT(前提条件!G46/60,"0.0")&amp;"h → 導入後 "&amp;TEXT(前提条件!G59/60,"0.0")&amp;"h（壁崩し工程が不要に）"</f>
        <v>現行 12.4h → 導入後 6.8h（壁崩し工程が不要に）</v>
      </c>
    </row>
    <row r="25" customFormat="false" ht="15" hidden="false" customHeight="false" outlineLevel="0" collapsed="false">
      <c r="B25" s="5" t="s">
        <v>28</v>
      </c>
      <c r="C25" s="21" t="n">
        <f aca="false">前提条件!C64</f>
        <v>8375</v>
      </c>
      <c r="D25" s="12" t="s">
        <v>29</v>
      </c>
    </row>
    <row r="26" customFormat="false" ht="15" hidden="false" customHeight="false" outlineLevel="0" collapsed="false">
      <c r="B26" s="5" t="s">
        <v>30</v>
      </c>
      <c r="C26" s="21" t="n">
        <f aca="false">前提条件!C65</f>
        <v>96</v>
      </c>
      <c r="D26" s="22" t="s">
        <v>31</v>
      </c>
    </row>
    <row r="27" customFormat="false" ht="15" hidden="false" customHeight="false" outlineLevel="0" collapsed="false">
      <c r="B27" s="5" t="s">
        <v>32</v>
      </c>
      <c r="C27" s="23" t="n">
        <f aca="false">-(前提条件!C66+前提条件!C67)</f>
        <v>-210</v>
      </c>
      <c r="D27" s="22" t="s">
        <v>33</v>
      </c>
    </row>
    <row r="28" customFormat="false" ht="15" hidden="false" customHeight="false" outlineLevel="0" collapsed="false">
      <c r="B28" s="5" t="s">
        <v>34</v>
      </c>
      <c r="C28" s="21" t="n">
        <f aca="false">前提条件!C68</f>
        <v>8261</v>
      </c>
      <c r="D28" s="12"/>
    </row>
    <row r="30" customFormat="false" ht="15" hidden="false" customHeight="false" outlineLevel="0" collapsed="false">
      <c r="B30" s="19" t="s">
        <v>35</v>
      </c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B31" s="24"/>
      <c r="C31" s="24" t="s">
        <v>36</v>
      </c>
      <c r="D31" s="24" t="s">
        <v>37</v>
      </c>
      <c r="E31" s="24" t="s">
        <v>38</v>
      </c>
      <c r="F31" s="24" t="s">
        <v>39</v>
      </c>
      <c r="G31" s="24" t="s">
        <v>40</v>
      </c>
      <c r="H31" s="24" t="s">
        <v>41</v>
      </c>
      <c r="I31" s="25" t="s">
        <v>42</v>
      </c>
    </row>
    <row r="32" customFormat="false" ht="15" hidden="false" customHeight="false" outlineLevel="0" collapsed="false">
      <c r="B32" s="26" t="s">
        <v>43</v>
      </c>
      <c r="C32" s="27" t="n">
        <f aca="false">白鳥惣菜PL_導入効果!I52</f>
        <v>-2319.89610000001</v>
      </c>
      <c r="D32" s="27" t="n">
        <f aca="false">白鳥惣菜PL_導入効果!J52</f>
        <v>-2565.48170000003</v>
      </c>
      <c r="E32" s="27" t="n">
        <f aca="false">白鳥惣菜PL_導入効果!K52</f>
        <v>3454.53829999999</v>
      </c>
      <c r="F32" s="27" t="n">
        <f aca="false">白鳥惣菜PL_導入効果!L52</f>
        <v>3740.43829999998</v>
      </c>
      <c r="G32" s="27" t="n">
        <f aca="false">白鳥惣菜PL_導入効果!M52</f>
        <v>2410.43829999998</v>
      </c>
      <c r="H32" s="27" t="n">
        <f aca="false">白鳥惣菜PL_導入効果!N52</f>
        <v>-3722.29310000001</v>
      </c>
      <c r="I32" s="27" t="n">
        <f aca="false">白鳥惣菜PL_導入効果!P52</f>
        <v>997.74399999989</v>
      </c>
    </row>
    <row r="33" customFormat="false" ht="15" hidden="false" customHeight="false" outlineLevel="0" collapsed="false">
      <c r="B33" s="26" t="s">
        <v>44</v>
      </c>
      <c r="C33" s="28" t="n">
        <f aca="false">白鳥惣菜PL_導入効果!I53</f>
        <v>-2319.89610000001</v>
      </c>
      <c r="D33" s="28" t="n">
        <f aca="false">白鳥惣菜PL_導入効果!J53</f>
        <v>-2379.17370000003</v>
      </c>
      <c r="E33" s="28" t="n">
        <f aca="false">白鳥惣菜PL_導入効果!K53</f>
        <v>3665.62929999999</v>
      </c>
      <c r="F33" s="28" t="n">
        <f aca="false">白鳥惣菜PL_導入効果!L53</f>
        <v>3943.26829999998</v>
      </c>
      <c r="G33" s="28" t="n">
        <f aca="false">白鳥惣菜PL_導入効果!M53</f>
        <v>2621.52929999998</v>
      </c>
      <c r="H33" s="28" t="n">
        <f aca="false">白鳥惣菜PL_導入効果!N53</f>
        <v>-3519.46310000001</v>
      </c>
      <c r="I33" s="28" t="n">
        <f aca="false">白鳥惣菜PL_導入効果!P53</f>
        <v>2011.89399999989</v>
      </c>
    </row>
    <row r="34" customFormat="false" ht="15" hidden="false" customHeight="false" outlineLevel="0" collapsed="false">
      <c r="B34" s="26" t="s">
        <v>45</v>
      </c>
      <c r="C34" s="29" t="n">
        <f aca="false">白鳥惣菜PL_導入効果!I54</f>
        <v>0</v>
      </c>
      <c r="D34" s="29" t="n">
        <f aca="false">白鳥惣菜PL_導入効果!J54</f>
        <v>186.308</v>
      </c>
      <c r="E34" s="29" t="n">
        <f aca="false">白鳥惣菜PL_導入効果!K54</f>
        <v>211.091</v>
      </c>
      <c r="F34" s="29" t="n">
        <f aca="false">白鳥惣菜PL_導入効果!L54</f>
        <v>202.83</v>
      </c>
      <c r="G34" s="29" t="n">
        <f aca="false">白鳥惣菜PL_導入効果!M54</f>
        <v>211.091</v>
      </c>
      <c r="H34" s="29" t="n">
        <f aca="false">白鳥惣菜PL_導入効果!N54</f>
        <v>202.83</v>
      </c>
      <c r="I34" s="29" t="n">
        <f aca="false">白鳥惣菜PL_導入効果!P54</f>
        <v>1014.15</v>
      </c>
    </row>
    <row r="35" customFormat="false" ht="15" hidden="false" customHeight="false" outlineLevel="0" collapsed="false">
      <c r="B35" s="26" t="s">
        <v>46</v>
      </c>
      <c r="C35" s="30" t="str">
        <f aca="false">白鳥惣菜PL_導入効果!I55</f>
        <v>予算通り</v>
      </c>
      <c r="D35" s="30" t="str">
        <f aca="false">白鳥惣菜PL_導入効果!J55</f>
        <v>予算超</v>
      </c>
      <c r="E35" s="30" t="str">
        <f aca="false">白鳥惣菜PL_導入効果!K55</f>
        <v>予算超</v>
      </c>
      <c r="F35" s="30" t="str">
        <f aca="false">白鳥惣菜PL_導入効果!L55</f>
        <v>予算超</v>
      </c>
      <c r="G35" s="30" t="str">
        <f aca="false">白鳥惣菜PL_導入効果!M55</f>
        <v>予算超</v>
      </c>
      <c r="H35" s="30" t="str">
        <f aca="false">白鳥惣菜PL_導入効果!N55</f>
        <v>予算超</v>
      </c>
      <c r="I35" s="30" t="str">
        <f aca="false">白鳥惣菜PL_導入効果!P55</f>
        <v>予算超</v>
      </c>
    </row>
    <row r="37" customFormat="false" ht="15" hidden="false" customHeight="false" outlineLevel="0" collapsed="false">
      <c r="B37" s="3" t="s">
        <v>47</v>
      </c>
      <c r="C37" s="4"/>
      <c r="D37" s="4"/>
      <c r="E37" s="4"/>
      <c r="F37" s="4"/>
      <c r="G37" s="4"/>
      <c r="H37" s="4"/>
      <c r="I37" s="4"/>
    </row>
    <row r="38" customFormat="false" ht="15" hidden="false" customHeight="false" outlineLevel="0" collapsed="false">
      <c r="B38" s="5" t="s">
        <v>48</v>
      </c>
    </row>
    <row r="39" customFormat="false" ht="15" hidden="false" customHeight="false" outlineLevel="0" collapsed="false">
      <c r="B39" s="5" t="s">
        <v>49</v>
      </c>
    </row>
    <row r="40" customFormat="false" ht="15" hidden="false" customHeight="false" outlineLevel="0" collapsed="false">
      <c r="B40" s="5" t="s">
        <v>50</v>
      </c>
    </row>
    <row r="41" customFormat="false" ht="15" hidden="false" customHeight="false" outlineLevel="0" collapsed="false">
      <c r="B41" s="5" t="s">
        <v>51</v>
      </c>
    </row>
    <row r="43" customFormat="false" ht="15" hidden="false" customHeight="false" outlineLevel="0" collapsed="false">
      <c r="B43" s="3" t="s">
        <v>52</v>
      </c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B44" s="31" t="s">
        <v>53</v>
      </c>
    </row>
    <row r="45" customFormat="false" ht="15" hidden="false" customHeight="false" outlineLevel="0" collapsed="false">
      <c r="B45" s="31" t="s">
        <v>54</v>
      </c>
    </row>
    <row r="46" customFormat="false" ht="15" hidden="false" customHeight="false" outlineLevel="0" collapsed="false">
      <c r="B46" s="31" t="s">
        <v>55</v>
      </c>
    </row>
    <row r="47" customFormat="false" ht="15" hidden="false" customHeight="false" outlineLevel="0" collapsed="false">
      <c r="B47" s="31" t="s">
        <v>56</v>
      </c>
    </row>
    <row r="48" customFormat="false" ht="15" hidden="false" customHeight="false" outlineLevel="0" collapsed="false">
      <c r="B48" s="3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32" t="s">
        <v>58</v>
      </c>
    </row>
    <row r="2" customFormat="false" ht="15" hidden="false" customHeight="false" outlineLevel="0" collapsed="false">
      <c r="B2" s="12" t="s">
        <v>59</v>
      </c>
    </row>
    <row r="4" customFormat="false" ht="15" hidden="false" customHeight="false" outlineLevel="0" collapsed="false">
      <c r="B4" s="3" t="s">
        <v>60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61</v>
      </c>
      <c r="C5" s="33" t="n">
        <v>4500000</v>
      </c>
      <c r="D5" s="34" t="s">
        <v>62</v>
      </c>
      <c r="H5" s="12" t="s">
        <v>63</v>
      </c>
    </row>
    <row r="6" customFormat="false" ht="15" hidden="false" customHeight="false" outlineLevel="0" collapsed="false">
      <c r="B6" s="5" t="s">
        <v>5</v>
      </c>
      <c r="C6" s="35" t="n">
        <v>2</v>
      </c>
      <c r="D6" s="34" t="s">
        <v>64</v>
      </c>
      <c r="H6" s="12" t="s">
        <v>65</v>
      </c>
    </row>
    <row r="7" customFormat="false" ht="15" hidden="false" customHeight="false" outlineLevel="0" collapsed="false">
      <c r="B7" s="5" t="s">
        <v>66</v>
      </c>
      <c r="C7" s="33" t="n">
        <v>0</v>
      </c>
      <c r="D7" s="34" t="s">
        <v>62</v>
      </c>
      <c r="H7" s="12" t="s">
        <v>67</v>
      </c>
    </row>
    <row r="8" customFormat="false" ht="15" hidden="false" customHeight="false" outlineLevel="0" collapsed="false">
      <c r="B8" s="5" t="s">
        <v>68</v>
      </c>
      <c r="C8" s="36" t="n">
        <f aca="false">C5+C7</f>
        <v>4500000</v>
      </c>
      <c r="D8" s="34" t="s">
        <v>62</v>
      </c>
      <c r="H8" s="12"/>
    </row>
    <row r="9" customFormat="false" ht="15" hidden="false" customHeight="false" outlineLevel="0" collapsed="false">
      <c r="B9" s="5" t="s">
        <v>69</v>
      </c>
      <c r="C9" s="35" t="n">
        <v>10</v>
      </c>
      <c r="D9" s="34" t="s">
        <v>70</v>
      </c>
      <c r="H9" s="12" t="s">
        <v>71</v>
      </c>
    </row>
    <row r="10" customFormat="false" ht="15" hidden="false" customHeight="false" outlineLevel="0" collapsed="false">
      <c r="B10" s="5" t="s">
        <v>72</v>
      </c>
      <c r="C10" s="36" t="n">
        <f aca="false">C8/(C9*12)</f>
        <v>37500</v>
      </c>
      <c r="D10" s="34" t="s">
        <v>73</v>
      </c>
      <c r="H10" s="12" t="s">
        <v>74</v>
      </c>
    </row>
    <row r="11" customFormat="false" ht="15" hidden="false" customHeight="false" outlineLevel="0" collapsed="false">
      <c r="B11" s="5" t="s">
        <v>75</v>
      </c>
      <c r="C11" s="37" t="n">
        <v>46419</v>
      </c>
      <c r="D11" s="2"/>
      <c r="H11" s="22" t="s">
        <v>76</v>
      </c>
    </row>
    <row r="12" customFormat="false" ht="15" hidden="false" customHeight="false" outlineLevel="0" collapsed="false">
      <c r="B12" s="5" t="s">
        <v>77</v>
      </c>
      <c r="C12" s="35" t="n">
        <v>5</v>
      </c>
      <c r="D12" s="34" t="s">
        <v>78</v>
      </c>
      <c r="H12" s="12" t="s">
        <v>79</v>
      </c>
    </row>
    <row r="14" customFormat="false" ht="15" hidden="false" customHeight="false" outlineLevel="0" collapsed="false">
      <c r="B14" s="3" t="s">
        <v>80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81</v>
      </c>
      <c r="C15" s="38" t="s">
        <v>82</v>
      </c>
    </row>
    <row r="16" customFormat="false" ht="15" hidden="false" customHeight="false" outlineLevel="0" collapsed="false">
      <c r="B16" s="5" t="s">
        <v>83</v>
      </c>
      <c r="C16" s="38" t="s">
        <v>84</v>
      </c>
    </row>
    <row r="17" customFormat="false" ht="15" hidden="false" customHeight="false" outlineLevel="0" collapsed="false">
      <c r="B17" s="5" t="s">
        <v>85</v>
      </c>
      <c r="C17" s="38" t="s">
        <v>86</v>
      </c>
    </row>
    <row r="18" customFormat="false" ht="15" hidden="false" customHeight="false" outlineLevel="0" collapsed="false">
      <c r="B18" s="5" t="s">
        <v>87</v>
      </c>
      <c r="C18" s="38" t="s">
        <v>88</v>
      </c>
    </row>
    <row r="19" customFormat="false" ht="15" hidden="false" customHeight="false" outlineLevel="0" collapsed="false">
      <c r="B19" s="5" t="s">
        <v>89</v>
      </c>
      <c r="C19" s="38" t="s">
        <v>90</v>
      </c>
    </row>
    <row r="20" customFormat="false" ht="15" hidden="false" customHeight="false" outlineLevel="0" collapsed="false">
      <c r="B20" s="5" t="s">
        <v>91</v>
      </c>
      <c r="C20" s="38" t="s">
        <v>92</v>
      </c>
    </row>
    <row r="21" customFormat="false" ht="15" hidden="false" customHeight="false" outlineLevel="0" collapsed="false">
      <c r="B21" s="5" t="s">
        <v>93</v>
      </c>
      <c r="C21" s="5" t="s">
        <v>94</v>
      </c>
    </row>
    <row r="22" customFormat="false" ht="15" hidden="false" customHeight="false" outlineLevel="0" collapsed="false">
      <c r="B22" s="5" t="s">
        <v>95</v>
      </c>
      <c r="C22" s="5" t="s">
        <v>96</v>
      </c>
    </row>
    <row r="24" customFormat="false" ht="15" hidden="false" customHeight="false" outlineLevel="0" collapsed="false">
      <c r="B24" s="3" t="s">
        <v>97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98</v>
      </c>
      <c r="C25" s="33" t="n">
        <v>1500</v>
      </c>
      <c r="D25" s="34" t="s">
        <v>99</v>
      </c>
      <c r="H25" s="12" t="s">
        <v>100</v>
      </c>
    </row>
    <row r="26" customFormat="false" ht="15" hidden="false" customHeight="false" outlineLevel="0" collapsed="false">
      <c r="B26" s="5" t="s">
        <v>101</v>
      </c>
      <c r="C26" s="35" t="n">
        <v>365</v>
      </c>
      <c r="D26" s="34" t="s">
        <v>102</v>
      </c>
      <c r="H26" s="12" t="s">
        <v>103</v>
      </c>
    </row>
    <row r="27" customFormat="false" ht="15" hidden="false" customHeight="false" outlineLevel="0" collapsed="false">
      <c r="B27" s="5" t="s">
        <v>104</v>
      </c>
      <c r="C27" s="33" t="n">
        <v>30</v>
      </c>
      <c r="D27" s="34" t="s">
        <v>105</v>
      </c>
      <c r="H27" s="12" t="s">
        <v>106</v>
      </c>
    </row>
    <row r="28" customFormat="false" ht="15" hidden="false" customHeight="false" outlineLevel="0" collapsed="false">
      <c r="B28" s="5" t="s">
        <v>107</v>
      </c>
      <c r="C28" s="39" t="n">
        <v>0.4</v>
      </c>
      <c r="D28" s="2" t="s">
        <v>108</v>
      </c>
      <c r="H28" s="12" t="s">
        <v>109</v>
      </c>
    </row>
    <row r="29" customFormat="false" ht="15" hidden="false" customHeight="false" outlineLevel="0" collapsed="false">
      <c r="B29" s="38" t="s">
        <v>110</v>
      </c>
      <c r="C29" s="40" t="n">
        <f aca="false">(MAX(D50:D58)-MIN(C50:C58))*24</f>
        <v>2.5</v>
      </c>
      <c r="D29" s="2" t="s">
        <v>111</v>
      </c>
      <c r="H29" s="12" t="s">
        <v>112</v>
      </c>
    </row>
    <row r="30" customFormat="false" ht="15" hidden="false" customHeight="false" outlineLevel="0" collapsed="false">
      <c r="B30" s="5" t="s">
        <v>113</v>
      </c>
      <c r="C30" s="33" t="n">
        <v>150</v>
      </c>
      <c r="D30" s="34" t="s">
        <v>114</v>
      </c>
      <c r="H30" s="12" t="s">
        <v>115</v>
      </c>
    </row>
    <row r="31" customFormat="false" ht="15" hidden="false" customHeight="false" outlineLevel="0" collapsed="false">
      <c r="B31" s="5" t="s">
        <v>116</v>
      </c>
      <c r="C31" s="41" t="n">
        <v>0.02</v>
      </c>
      <c r="D31" s="34" t="s">
        <v>117</v>
      </c>
      <c r="H31" s="12" t="s">
        <v>118</v>
      </c>
    </row>
    <row r="32" customFormat="false" ht="15" hidden="false" customHeight="false" outlineLevel="0" collapsed="false">
      <c r="B32" s="5" t="s">
        <v>119</v>
      </c>
      <c r="C32" s="33" t="n">
        <v>16</v>
      </c>
      <c r="D32" s="34" t="s">
        <v>120</v>
      </c>
      <c r="H32" s="12" t="s">
        <v>121</v>
      </c>
    </row>
    <row r="33" customFormat="false" ht="15" hidden="false" customHeight="false" outlineLevel="0" collapsed="false">
      <c r="B33" s="5" t="s">
        <v>122</v>
      </c>
      <c r="C33" s="35" t="n">
        <v>4</v>
      </c>
      <c r="D33" s="34" t="s">
        <v>123</v>
      </c>
      <c r="H33" s="12" t="s">
        <v>124</v>
      </c>
    </row>
    <row r="34" customFormat="false" ht="15" hidden="false" customHeight="false" outlineLevel="0" collapsed="false">
      <c r="B34" s="5" t="s">
        <v>125</v>
      </c>
      <c r="C34" s="35" t="n">
        <v>2</v>
      </c>
      <c r="D34" s="34" t="s">
        <v>123</v>
      </c>
      <c r="H34" s="12" t="s">
        <v>124</v>
      </c>
    </row>
    <row r="36" customFormat="false" ht="15" hidden="false" customHeight="false" outlineLevel="0" collapsed="false">
      <c r="B36" s="3" t="s">
        <v>126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5" t="s">
        <v>127</v>
      </c>
      <c r="C37" s="25" t="s">
        <v>128</v>
      </c>
      <c r="D37" s="25" t="s">
        <v>129</v>
      </c>
      <c r="E37" s="25" t="s">
        <v>130</v>
      </c>
      <c r="F37" s="25" t="s">
        <v>131</v>
      </c>
      <c r="G37" s="25" t="s">
        <v>132</v>
      </c>
    </row>
    <row r="38" customFormat="false" ht="15" hidden="false" customHeight="false" outlineLevel="0" collapsed="false">
      <c r="B38" s="42" t="s">
        <v>133</v>
      </c>
      <c r="C38" s="43" t="n">
        <v>0.541666666666667</v>
      </c>
      <c r="D38" s="43" t="n">
        <v>0.548611111111111</v>
      </c>
      <c r="E38" s="44" t="n">
        <f aca="false">ROUND((D38-C38)*1440,0)</f>
        <v>10</v>
      </c>
      <c r="F38" s="45" t="n">
        <v>2</v>
      </c>
      <c r="G38" s="40" t="n">
        <f aca="false">E38*F38</f>
        <v>20</v>
      </c>
      <c r="H38" s="12" t="s">
        <v>134</v>
      </c>
    </row>
    <row r="39" customFormat="false" ht="15" hidden="false" customHeight="false" outlineLevel="0" collapsed="false">
      <c r="B39" s="42" t="s">
        <v>135</v>
      </c>
      <c r="C39" s="43" t="n">
        <v>0.548611111111111</v>
      </c>
      <c r="D39" s="43" t="n">
        <v>0.645833333333333</v>
      </c>
      <c r="E39" s="44" t="n">
        <f aca="false">ROUND((D39-C39)*1440,0)</f>
        <v>140</v>
      </c>
      <c r="F39" s="45" t="n">
        <v>0.5</v>
      </c>
      <c r="G39" s="40" t="n">
        <f aca="false">E39*F39</f>
        <v>70</v>
      </c>
    </row>
    <row r="40" customFormat="false" ht="15" hidden="false" customHeight="false" outlineLevel="0" collapsed="false">
      <c r="B40" s="42" t="s">
        <v>136</v>
      </c>
      <c r="C40" s="43" t="n">
        <v>0.548611111111111</v>
      </c>
      <c r="D40" s="43" t="n">
        <v>0.645833333333333</v>
      </c>
      <c r="E40" s="44" t="n">
        <f aca="false">ROUND((D40-C40)*1440,0)</f>
        <v>140</v>
      </c>
      <c r="F40" s="45" t="n">
        <v>0.5</v>
      </c>
      <c r="G40" s="40" t="n">
        <f aca="false">E40*F40</f>
        <v>70</v>
      </c>
    </row>
    <row r="41" customFormat="false" ht="15" hidden="false" customHeight="false" outlineLevel="0" collapsed="false">
      <c r="B41" s="42" t="s">
        <v>137</v>
      </c>
      <c r="C41" s="43" t="n">
        <v>0.541666666666667</v>
      </c>
      <c r="D41" s="43" t="n">
        <v>0.625</v>
      </c>
      <c r="E41" s="44" t="n">
        <f aca="false">ROUND((D41-C41)*1440,0)</f>
        <v>120</v>
      </c>
      <c r="F41" s="45" t="n">
        <v>1</v>
      </c>
      <c r="G41" s="40" t="n">
        <f aca="false">E41*F41</f>
        <v>120</v>
      </c>
    </row>
    <row r="42" customFormat="false" ht="15" hidden="false" customHeight="false" outlineLevel="0" collapsed="false">
      <c r="B42" s="42" t="s">
        <v>138</v>
      </c>
      <c r="C42" s="43" t="n">
        <v>0.552083333333333</v>
      </c>
      <c r="D42" s="43" t="n">
        <v>0.65625</v>
      </c>
      <c r="E42" s="44" t="n">
        <f aca="false">ROUND((D42-C42)*1440,0)</f>
        <v>150</v>
      </c>
      <c r="F42" s="45" t="n">
        <v>1</v>
      </c>
      <c r="G42" s="40" t="n">
        <f aca="false">E42*F42</f>
        <v>150</v>
      </c>
    </row>
    <row r="43" customFormat="false" ht="15" hidden="false" customHeight="false" outlineLevel="0" collapsed="false">
      <c r="B43" s="42" t="s">
        <v>139</v>
      </c>
      <c r="C43" s="43" t="n">
        <v>0.552083333333333</v>
      </c>
      <c r="D43" s="43" t="n">
        <v>0.65625</v>
      </c>
      <c r="E43" s="44" t="n">
        <f aca="false">ROUND((D43-C43)*1440,0)</f>
        <v>150</v>
      </c>
      <c r="F43" s="45" t="n">
        <v>1</v>
      </c>
      <c r="G43" s="40" t="n">
        <f aca="false">E43*F43</f>
        <v>150</v>
      </c>
    </row>
    <row r="44" customFormat="false" ht="15" hidden="false" customHeight="false" outlineLevel="0" collapsed="false">
      <c r="B44" s="42" t="s">
        <v>140</v>
      </c>
      <c r="C44" s="43" t="n">
        <v>0.555555555555556</v>
      </c>
      <c r="D44" s="43" t="n">
        <v>0.670138888888889</v>
      </c>
      <c r="E44" s="44" t="n">
        <f aca="false">ROUND((D44-C44)*1440,0)</f>
        <v>165</v>
      </c>
      <c r="F44" s="45" t="n">
        <v>0.5</v>
      </c>
      <c r="G44" s="40" t="n">
        <f aca="false">E44*F44</f>
        <v>82.5</v>
      </c>
    </row>
    <row r="45" customFormat="false" ht="15" hidden="false" customHeight="false" outlineLevel="0" collapsed="false">
      <c r="B45" s="42" t="s">
        <v>141</v>
      </c>
      <c r="C45" s="43" t="n">
        <v>0.559027777777778</v>
      </c>
      <c r="D45" s="43" t="n">
        <v>0.673611111111111</v>
      </c>
      <c r="E45" s="44" t="n">
        <f aca="false">ROUND((D45-C45)*1440,0)</f>
        <v>165</v>
      </c>
      <c r="F45" s="45" t="n">
        <v>0.5</v>
      </c>
      <c r="G45" s="40" t="n">
        <f aca="false">E45*F45</f>
        <v>82.5</v>
      </c>
    </row>
    <row r="46" customFormat="false" ht="15" hidden="false" customHeight="false" outlineLevel="0" collapsed="false">
      <c r="B46" s="46" t="s">
        <v>142</v>
      </c>
      <c r="C46" s="47"/>
      <c r="D46" s="47"/>
      <c r="E46" s="47"/>
      <c r="F46" s="47"/>
      <c r="G46" s="48" t="n">
        <f aca="false">SUM(G38:G45)</f>
        <v>745</v>
      </c>
    </row>
    <row r="48" customFormat="false" ht="15" hidden="false" customHeight="false" outlineLevel="0" collapsed="false">
      <c r="B48" s="3" t="s">
        <v>143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5" t="s">
        <v>127</v>
      </c>
      <c r="C49" s="25" t="s">
        <v>128</v>
      </c>
      <c r="D49" s="25" t="s">
        <v>129</v>
      </c>
      <c r="E49" s="25" t="s">
        <v>130</v>
      </c>
      <c r="F49" s="25" t="s">
        <v>131</v>
      </c>
      <c r="G49" s="25" t="s">
        <v>132</v>
      </c>
    </row>
    <row r="50" customFormat="false" ht="15" hidden="false" customHeight="false" outlineLevel="0" collapsed="false">
      <c r="B50" s="42" t="s">
        <v>133</v>
      </c>
      <c r="C50" s="43" t="n">
        <v>0.541666666666667</v>
      </c>
      <c r="D50" s="43" t="n">
        <v>0.555555555555556</v>
      </c>
      <c r="E50" s="44" t="n">
        <f aca="false">ROUND((D50-C50)*1440,0)</f>
        <v>20</v>
      </c>
      <c r="F50" s="45" t="n">
        <v>1</v>
      </c>
      <c r="G50" s="40" t="n">
        <f aca="false">E50*F50</f>
        <v>20</v>
      </c>
      <c r="H50" s="12" t="s">
        <v>144</v>
      </c>
    </row>
    <row r="51" customFormat="false" ht="15" hidden="false" customHeight="false" outlineLevel="0" collapsed="false">
      <c r="B51" s="42" t="s">
        <v>145</v>
      </c>
      <c r="C51" s="43" t="n">
        <v>0.541666666666667</v>
      </c>
      <c r="D51" s="43" t="n">
        <v>0.555555555555556</v>
      </c>
      <c r="E51" s="44" t="n">
        <f aca="false">ROUND((D51-C51)*1440,0)</f>
        <v>20</v>
      </c>
      <c r="F51" s="45" t="n">
        <v>2</v>
      </c>
      <c r="G51" s="40" t="n">
        <f aca="false">E51*F51</f>
        <v>40</v>
      </c>
    </row>
    <row r="52" customFormat="false" ht="15" hidden="false" customHeight="false" outlineLevel="0" collapsed="false">
      <c r="B52" s="42" t="s">
        <v>146</v>
      </c>
      <c r="C52" s="43" t="n">
        <v>0.555555555555556</v>
      </c>
      <c r="D52" s="43" t="n">
        <v>0.604166666666667</v>
      </c>
      <c r="E52" s="44" t="n">
        <f aca="false">ROUND((D52-C52)*1440,0)</f>
        <v>70</v>
      </c>
      <c r="F52" s="45" t="n">
        <v>0.25</v>
      </c>
      <c r="G52" s="40" t="n">
        <f aca="false">E52*F52</f>
        <v>17.5</v>
      </c>
    </row>
    <row r="53" customFormat="false" ht="15" hidden="false" customHeight="false" outlineLevel="0" collapsed="false">
      <c r="B53" s="42" t="s">
        <v>147</v>
      </c>
      <c r="C53" s="43" t="n">
        <v>0.555555555555556</v>
      </c>
      <c r="D53" s="43" t="n">
        <v>0.604166666666667</v>
      </c>
      <c r="E53" s="44" t="n">
        <f aca="false">ROUND((D53-C53)*1440,0)</f>
        <v>70</v>
      </c>
      <c r="F53" s="45" t="n">
        <v>0.25</v>
      </c>
      <c r="G53" s="40" t="n">
        <f aca="false">E53*F53</f>
        <v>17.5</v>
      </c>
    </row>
    <row r="54" customFormat="false" ht="15" hidden="false" customHeight="false" outlineLevel="0" collapsed="false">
      <c r="B54" s="42" t="s">
        <v>138</v>
      </c>
      <c r="C54" s="43" t="n">
        <v>0.555555555555556</v>
      </c>
      <c r="D54" s="43" t="n">
        <v>0.614583333333333</v>
      </c>
      <c r="E54" s="44" t="n">
        <f aca="false">ROUND((D54-C54)*1440,0)</f>
        <v>85</v>
      </c>
      <c r="F54" s="45" t="n">
        <v>1</v>
      </c>
      <c r="G54" s="40" t="n">
        <f aca="false">E54*F54</f>
        <v>85</v>
      </c>
    </row>
    <row r="55" customFormat="false" ht="15" hidden="false" customHeight="false" outlineLevel="0" collapsed="false">
      <c r="B55" s="42" t="s">
        <v>139</v>
      </c>
      <c r="C55" s="43" t="n">
        <v>0.555555555555556</v>
      </c>
      <c r="D55" s="43" t="n">
        <v>0.614583333333333</v>
      </c>
      <c r="E55" s="44" t="n">
        <f aca="false">ROUND((D55-C55)*1440,0)</f>
        <v>85</v>
      </c>
      <c r="F55" s="45" t="n">
        <v>1</v>
      </c>
      <c r="G55" s="40" t="n">
        <f aca="false">E55*F55</f>
        <v>85</v>
      </c>
    </row>
    <row r="56" customFormat="false" ht="15" hidden="false" customHeight="false" outlineLevel="0" collapsed="false">
      <c r="B56" s="42" t="s">
        <v>140</v>
      </c>
      <c r="C56" s="43" t="n">
        <v>0.555555555555556</v>
      </c>
      <c r="D56" s="43" t="n">
        <v>0.628472222222222</v>
      </c>
      <c r="E56" s="44" t="n">
        <f aca="false">ROUND((D56-C56)*1440,0)</f>
        <v>105</v>
      </c>
      <c r="F56" s="45" t="n">
        <v>0.5</v>
      </c>
      <c r="G56" s="40" t="n">
        <f aca="false">E56*F56</f>
        <v>52.5</v>
      </c>
    </row>
    <row r="57" customFormat="false" ht="15" hidden="false" customHeight="false" outlineLevel="0" collapsed="false">
      <c r="B57" s="42" t="s">
        <v>141</v>
      </c>
      <c r="C57" s="43" t="n">
        <v>0.559027777777778</v>
      </c>
      <c r="D57" s="43" t="n">
        <v>0.631944444444444</v>
      </c>
      <c r="E57" s="44" t="n">
        <f aca="false">ROUND((D57-C57)*1440,0)</f>
        <v>105</v>
      </c>
      <c r="F57" s="45" t="n">
        <v>0.5</v>
      </c>
      <c r="G57" s="40" t="n">
        <f aca="false">E57*F57</f>
        <v>52.5</v>
      </c>
    </row>
    <row r="58" customFormat="false" ht="15" hidden="false" customHeight="false" outlineLevel="0" collapsed="false">
      <c r="B58" s="42" t="s">
        <v>148</v>
      </c>
      <c r="C58" s="43" t="n">
        <v>0.631944444444444</v>
      </c>
      <c r="D58" s="43" t="n">
        <v>0.645833333333333</v>
      </c>
      <c r="E58" s="44" t="n">
        <f aca="false">ROUND((D58-C58)*1440,0)</f>
        <v>20</v>
      </c>
      <c r="F58" s="45" t="n">
        <v>2</v>
      </c>
      <c r="G58" s="40" t="n">
        <f aca="false">E58*F58</f>
        <v>40</v>
      </c>
    </row>
    <row r="59" customFormat="false" ht="15" hidden="false" customHeight="false" outlineLevel="0" collapsed="false">
      <c r="B59" s="46" t="s">
        <v>142</v>
      </c>
      <c r="C59" s="47"/>
      <c r="D59" s="47"/>
      <c r="E59" s="47"/>
      <c r="F59" s="47"/>
      <c r="G59" s="48" t="n">
        <f aca="false">SUM(G50:G58)</f>
        <v>410</v>
      </c>
    </row>
    <row r="61" customFormat="false" ht="15" hidden="false" customHeight="false" outlineLevel="0" collapsed="false">
      <c r="B61" s="19" t="s">
        <v>26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149</v>
      </c>
      <c r="C62" s="40" t="n">
        <f aca="false">G46-G59</f>
        <v>335</v>
      </c>
      <c r="D62" s="34" t="s">
        <v>150</v>
      </c>
      <c r="H62" s="12" t="s">
        <v>151</v>
      </c>
    </row>
    <row r="63" customFormat="false" ht="15" hidden="false" customHeight="false" outlineLevel="0" collapsed="false">
      <c r="B63" s="5" t="s">
        <v>152</v>
      </c>
      <c r="C63" s="49" t="n">
        <f aca="false">C62/60</f>
        <v>5.58333333333333</v>
      </c>
      <c r="D63" s="2" t="s">
        <v>153</v>
      </c>
      <c r="H63" s="12"/>
    </row>
    <row r="64" customFormat="false" ht="15" hidden="false" customHeight="false" outlineLevel="0" collapsed="false">
      <c r="B64" s="5" t="s">
        <v>154</v>
      </c>
      <c r="C64" s="36" t="n">
        <f aca="false">C63*C25</f>
        <v>8375</v>
      </c>
      <c r="D64" s="34" t="s">
        <v>114</v>
      </c>
      <c r="H64" s="12" t="s">
        <v>155</v>
      </c>
    </row>
    <row r="65" customFormat="false" ht="15" hidden="false" customHeight="false" outlineLevel="0" collapsed="false">
      <c r="B65" s="5" t="s">
        <v>156</v>
      </c>
      <c r="C65" s="36" t="n">
        <f aca="false">C32*(C33+C34)</f>
        <v>96</v>
      </c>
      <c r="D65" s="34" t="s">
        <v>114</v>
      </c>
      <c r="H65" s="12" t="s">
        <v>157</v>
      </c>
    </row>
    <row r="66" customFormat="false" ht="15" hidden="false" customHeight="false" outlineLevel="0" collapsed="false">
      <c r="B66" s="5" t="s">
        <v>158</v>
      </c>
      <c r="C66" s="36" t="n">
        <f aca="false">C28*C6*C29*C27</f>
        <v>60</v>
      </c>
      <c r="D66" s="34" t="s">
        <v>114</v>
      </c>
      <c r="H66" s="22" t="s">
        <v>159</v>
      </c>
    </row>
    <row r="67" customFormat="false" ht="15" hidden="false" customHeight="false" outlineLevel="0" collapsed="false">
      <c r="B67" s="5" t="s">
        <v>160</v>
      </c>
      <c r="C67" s="36" t="n">
        <f aca="false">C30</f>
        <v>150</v>
      </c>
      <c r="D67" s="34" t="s">
        <v>114</v>
      </c>
      <c r="H67" s="12"/>
    </row>
    <row r="68" customFormat="false" ht="15" hidden="false" customHeight="false" outlineLevel="0" collapsed="false">
      <c r="B68" s="38" t="s">
        <v>161</v>
      </c>
      <c r="C68" s="50" t="n">
        <f aca="false">C64+C65-C66-C67</f>
        <v>8261</v>
      </c>
      <c r="D68" s="34" t="s">
        <v>114</v>
      </c>
      <c r="H68" s="12"/>
    </row>
    <row r="70" customFormat="false" ht="15" hidden="false" customHeight="false" outlineLevel="0" collapsed="false">
      <c r="B70" s="3" t="s">
        <v>162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163</v>
      </c>
      <c r="C71" s="36" t="n">
        <f aca="false">C64*C26</f>
        <v>3056875</v>
      </c>
      <c r="D71" s="34" t="s">
        <v>164</v>
      </c>
      <c r="H71" s="12"/>
    </row>
    <row r="72" customFormat="false" ht="15" hidden="false" customHeight="false" outlineLevel="0" collapsed="false">
      <c r="B72" s="5" t="s">
        <v>165</v>
      </c>
      <c r="C72" s="36" t="n">
        <f aca="false">C65*C26</f>
        <v>35040</v>
      </c>
      <c r="D72" s="34" t="s">
        <v>164</v>
      </c>
      <c r="H72" s="12"/>
    </row>
    <row r="73" customFormat="false" ht="15" hidden="false" customHeight="false" outlineLevel="0" collapsed="false">
      <c r="B73" s="5" t="s">
        <v>166</v>
      </c>
      <c r="C73" s="36" t="n">
        <f aca="false">(C66+C67)*C26</f>
        <v>76650</v>
      </c>
      <c r="D73" s="34" t="s">
        <v>164</v>
      </c>
      <c r="H73" s="12"/>
    </row>
    <row r="74" customFormat="false" ht="15" hidden="false" customHeight="false" outlineLevel="0" collapsed="false">
      <c r="B74" s="5" t="s">
        <v>167</v>
      </c>
      <c r="C74" s="36" t="n">
        <f aca="false">C8*C31</f>
        <v>90000</v>
      </c>
      <c r="D74" s="34" t="s">
        <v>164</v>
      </c>
      <c r="H74" s="12"/>
    </row>
    <row r="75" customFormat="false" ht="15" hidden="false" customHeight="false" outlineLevel="0" collapsed="false">
      <c r="B75" s="5" t="s">
        <v>168</v>
      </c>
      <c r="C75" s="50" t="n">
        <f aca="false">C71+C72-C73-C74</f>
        <v>2925265</v>
      </c>
      <c r="D75" s="34" t="s">
        <v>164</v>
      </c>
      <c r="H75" s="12" t="s">
        <v>169</v>
      </c>
    </row>
    <row r="76" customFormat="false" ht="15" hidden="false" customHeight="false" outlineLevel="0" collapsed="false">
      <c r="B76" s="5" t="s">
        <v>170</v>
      </c>
      <c r="C76" s="36" t="n">
        <f aca="false">C75/12</f>
        <v>243772.083333333</v>
      </c>
      <c r="D76" s="34" t="s">
        <v>73</v>
      </c>
      <c r="H76" s="12"/>
    </row>
    <row r="77" customFormat="false" ht="15" hidden="false" customHeight="false" outlineLevel="0" collapsed="false">
      <c r="B77" s="5" t="s">
        <v>171</v>
      </c>
      <c r="C77" s="36" t="n">
        <f aca="false">C10*12</f>
        <v>450000</v>
      </c>
      <c r="D77" s="34" t="s">
        <v>164</v>
      </c>
      <c r="H77" s="12"/>
    </row>
    <row r="78" customFormat="false" ht="15" hidden="false" customHeight="false" outlineLevel="0" collapsed="false">
      <c r="B78" s="5" t="s">
        <v>172</v>
      </c>
      <c r="C78" s="50" t="n">
        <f aca="false">C75-C77</f>
        <v>2475265</v>
      </c>
      <c r="D78" s="34" t="s">
        <v>164</v>
      </c>
      <c r="H78" s="22" t="s">
        <v>173</v>
      </c>
    </row>
    <row r="79" customFormat="false" ht="15" hidden="false" customHeight="false" outlineLevel="0" collapsed="false">
      <c r="B79" s="5" t="s">
        <v>174</v>
      </c>
      <c r="C79" s="36" t="n">
        <f aca="false">C78/12</f>
        <v>206272.083333333</v>
      </c>
      <c r="D79" s="34" t="s">
        <v>73</v>
      </c>
      <c r="H79" s="12"/>
    </row>
    <row r="80" customFormat="false" ht="15" hidden="false" customHeight="false" outlineLevel="0" collapsed="false">
      <c r="B80" s="5" t="s">
        <v>175</v>
      </c>
      <c r="C80" s="51" t="n">
        <f aca="false">IF(C76&gt;0,C8/C76,0)</f>
        <v>18.4598660292315</v>
      </c>
      <c r="D80" s="34" t="s">
        <v>176</v>
      </c>
      <c r="H80" s="12" t="s">
        <v>177</v>
      </c>
    </row>
    <row r="81" customFormat="false" ht="15" hidden="false" customHeight="false" outlineLevel="0" collapsed="false">
      <c r="B81" s="5" t="s">
        <v>178</v>
      </c>
      <c r="C81" s="49" t="n">
        <f aca="false">C80/12</f>
        <v>1.53832216910263</v>
      </c>
      <c r="D81" s="34" t="s">
        <v>70</v>
      </c>
      <c r="H81" s="12"/>
    </row>
    <row r="82" customFormat="false" ht="15" hidden="false" customHeight="false" outlineLevel="0" collapsed="false">
      <c r="B82" s="5" t="s">
        <v>24</v>
      </c>
      <c r="C82" s="52" t="n">
        <f aca="false">IF((C71+C72)&gt;0,(C73+C74+C77)/(C71+C72),0)</f>
        <v>0.199439505937259</v>
      </c>
      <c r="D82" s="2"/>
      <c r="H82" s="1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</cols>
  <sheetData>
    <row r="1" customFormat="false" ht="19.4" hidden="false" customHeight="false" outlineLevel="0" collapsed="false">
      <c r="A1" s="32" t="s">
        <v>180</v>
      </c>
    </row>
    <row r="2" customFormat="false" ht="15" hidden="false" customHeight="false" outlineLevel="0" collapsed="false">
      <c r="A2" s="12" t="s">
        <v>181</v>
      </c>
    </row>
    <row r="4" customFormat="false" ht="15" hidden="false" customHeight="false" outlineLevel="0" collapsed="false">
      <c r="B4" s="10" t="s">
        <v>182</v>
      </c>
      <c r="D4" s="53" t="n">
        <f aca="false">IF(MAX(K8:K127)&gt;=前提条件!$C$8,COUNTIF(K8:K127,"&lt;"&amp;前提条件!$C$8)+1,"回収不可")</f>
        <v>19</v>
      </c>
      <c r="F4" s="10" t="s">
        <v>19</v>
      </c>
      <c r="G4" s="54" t="n">
        <f aca="false">IF(ISNUMBER(D4),EDATE(前提条件!$C$11,D4-1),"-")</f>
        <v>46966</v>
      </c>
      <c r="I4" s="16" t="s">
        <v>183</v>
      </c>
      <c r="K4" s="55" t="str">
        <f aca="false">IF(ISNUMBER(D4),IF(D4&lt;=前提条件!$C$12*12,"◎ 5年以内に回収","× 5年超"),"× 回収不可")</f>
        <v>◎ 5年以内に回収</v>
      </c>
      <c r="M4" s="16" t="s">
        <v>184</v>
      </c>
      <c r="O4" s="56" t="n">
        <f aca="false">K67</f>
        <v>14634586</v>
      </c>
    </row>
    <row r="7" customFormat="false" ht="30" hidden="false" customHeight="true" outlineLevel="0" collapsed="false">
      <c r="A7" s="24" t="s">
        <v>185</v>
      </c>
      <c r="B7" s="25" t="s">
        <v>186</v>
      </c>
      <c r="C7" s="25" t="s">
        <v>187</v>
      </c>
      <c r="D7" s="25" t="s">
        <v>188</v>
      </c>
      <c r="E7" s="25" t="s">
        <v>189</v>
      </c>
      <c r="F7" s="25" t="s">
        <v>190</v>
      </c>
      <c r="G7" s="25" t="s">
        <v>191</v>
      </c>
      <c r="H7" s="25" t="s">
        <v>192</v>
      </c>
      <c r="I7" s="25" t="s">
        <v>193</v>
      </c>
      <c r="J7" s="25" t="s">
        <v>194</v>
      </c>
      <c r="K7" s="25" t="s">
        <v>195</v>
      </c>
      <c r="L7" s="25" t="s">
        <v>196</v>
      </c>
      <c r="M7" s="25" t="s">
        <v>197</v>
      </c>
      <c r="N7" s="25" t="s">
        <v>198</v>
      </c>
      <c r="O7" s="25" t="s">
        <v>199</v>
      </c>
      <c r="P7" s="25" t="s">
        <v>200</v>
      </c>
      <c r="Q7" s="25" t="s">
        <v>201</v>
      </c>
    </row>
    <row r="8" customFormat="false" ht="15" hidden="false" customHeight="false" outlineLevel="0" collapsed="false">
      <c r="A8" s="57" t="n">
        <v>1</v>
      </c>
      <c r="B8" s="58" t="n">
        <f aca="false">EDATE(前提条件!$C$11,A8-1)</f>
        <v>46419</v>
      </c>
      <c r="C8" s="59" t="n">
        <f aca="false">YEAR(B8)+IF(MONTH(B8)&gt;=7,1,0)-2027+48</f>
        <v>48</v>
      </c>
      <c r="D8" s="60" t="n">
        <f aca="false">前提条件!$C$26/365*DAY(EOMONTH(B8,0))</f>
        <v>28</v>
      </c>
      <c r="E8" s="61" t="n">
        <v>1</v>
      </c>
      <c r="F8" s="62" t="n">
        <f aca="false">前提条件!$C$64*D8*E8</f>
        <v>234500</v>
      </c>
      <c r="G8" s="62" t="n">
        <f aca="false">前提条件!$C$65*D8*E8</f>
        <v>2688</v>
      </c>
      <c r="H8" s="62" t="n">
        <f aca="false">(前提条件!$C$66+前提条件!$C$67)*D8</f>
        <v>5880</v>
      </c>
      <c r="I8" s="62" t="n">
        <f aca="false">前提条件!$C$74/12</f>
        <v>7500</v>
      </c>
      <c r="J8" s="63" t="n">
        <f aca="false">F8+G8-H8-I8</f>
        <v>223808</v>
      </c>
      <c r="K8" s="63" t="n">
        <f aca="false">J8</f>
        <v>223808</v>
      </c>
      <c r="L8" s="63" t="n">
        <f aca="false">MAX(前提条件!$C$8-K8,0)</f>
        <v>4276192</v>
      </c>
      <c r="M8" s="62" t="n">
        <f aca="false">前提条件!$C$10</f>
        <v>37500</v>
      </c>
      <c r="N8" s="63" t="n">
        <f aca="false">J8-M8</f>
        <v>186308</v>
      </c>
      <c r="O8" s="63" t="n">
        <f aca="false">N8</f>
        <v>186308</v>
      </c>
      <c r="P8" s="63" t="n">
        <f aca="false">前提条件!$C$8-SUM(M$8:M8)</f>
        <v>4462500</v>
      </c>
      <c r="Q8" s="64" t="str">
        <f aca="false">IF(AND(K8&gt;=前提条件!$C$8,0&lt;前提条件!$C$8),"◀投資回収","")</f>
        <v/>
      </c>
    </row>
    <row r="9" customFormat="false" ht="15" hidden="false" customHeight="false" outlineLevel="0" collapsed="false">
      <c r="A9" s="57" t="n">
        <v>2</v>
      </c>
      <c r="B9" s="58" t="n">
        <f aca="false">EDATE(前提条件!$C$11,A9-1)</f>
        <v>46447</v>
      </c>
      <c r="C9" s="59" t="n">
        <f aca="false">YEAR(B9)+IF(MONTH(B9)&gt;=7,1,0)-2027+48</f>
        <v>48</v>
      </c>
      <c r="D9" s="60" t="n">
        <f aca="false">前提条件!$C$26/365*DAY(EOMONTH(B9,0))</f>
        <v>31</v>
      </c>
      <c r="E9" s="61" t="n">
        <v>1</v>
      </c>
      <c r="F9" s="62" t="n">
        <f aca="false">前提条件!$C$64*D9*E9</f>
        <v>259625</v>
      </c>
      <c r="G9" s="62" t="n">
        <f aca="false">前提条件!$C$65*D9*E9</f>
        <v>2976</v>
      </c>
      <c r="H9" s="62" t="n">
        <f aca="false">(前提条件!$C$66+前提条件!$C$67)*D9</f>
        <v>6510</v>
      </c>
      <c r="I9" s="62" t="n">
        <f aca="false">前提条件!$C$74/12</f>
        <v>7500</v>
      </c>
      <c r="J9" s="63" t="n">
        <f aca="false">F9+G9-H9-I9</f>
        <v>248591</v>
      </c>
      <c r="K9" s="63" t="n">
        <f aca="false">K8+J9</f>
        <v>472399</v>
      </c>
      <c r="L9" s="63" t="n">
        <f aca="false">MAX(前提条件!$C$8-K9,0)</f>
        <v>4027601</v>
      </c>
      <c r="M9" s="62" t="n">
        <f aca="false">前提条件!$C$10</f>
        <v>37500</v>
      </c>
      <c r="N9" s="63" t="n">
        <f aca="false">J9-M9</f>
        <v>211091</v>
      </c>
      <c r="O9" s="63" t="n">
        <f aca="false">O8+N9</f>
        <v>397399</v>
      </c>
      <c r="P9" s="63" t="n">
        <f aca="false">前提条件!$C$8-SUM(M$8:M9)</f>
        <v>4425000</v>
      </c>
      <c r="Q9" s="64" t="str">
        <f aca="false">IF(AND(K9&gt;=前提条件!$C$8,K8&lt;前提条件!$C$8),"◀投資回収","")</f>
        <v/>
      </c>
    </row>
    <row r="10" customFormat="false" ht="15" hidden="false" customHeight="false" outlineLevel="0" collapsed="false">
      <c r="A10" s="57" t="n">
        <v>3</v>
      </c>
      <c r="B10" s="58" t="n">
        <f aca="false">EDATE(前提条件!$C$11,A10-1)</f>
        <v>46478</v>
      </c>
      <c r="C10" s="59" t="n">
        <f aca="false">YEAR(B10)+IF(MONTH(B10)&gt;=7,1,0)-2027+48</f>
        <v>48</v>
      </c>
      <c r="D10" s="60" t="n">
        <f aca="false">前提条件!$C$26/365*DAY(EOMONTH(B10,0))</f>
        <v>30</v>
      </c>
      <c r="E10" s="61" t="n">
        <v>1</v>
      </c>
      <c r="F10" s="62" t="n">
        <f aca="false">前提条件!$C$64*D10*E10</f>
        <v>251250</v>
      </c>
      <c r="G10" s="62" t="n">
        <f aca="false">前提条件!$C$65*D10*E10</f>
        <v>2880</v>
      </c>
      <c r="H10" s="62" t="n">
        <f aca="false">(前提条件!$C$66+前提条件!$C$67)*D10</f>
        <v>6300</v>
      </c>
      <c r="I10" s="62" t="n">
        <f aca="false">前提条件!$C$74/12</f>
        <v>7500</v>
      </c>
      <c r="J10" s="63" t="n">
        <f aca="false">F10+G10-H10-I10</f>
        <v>240330</v>
      </c>
      <c r="K10" s="63" t="n">
        <f aca="false">K9+J10</f>
        <v>712729</v>
      </c>
      <c r="L10" s="63" t="n">
        <f aca="false">MAX(前提条件!$C$8-K10,0)</f>
        <v>3787271</v>
      </c>
      <c r="M10" s="62" t="n">
        <f aca="false">前提条件!$C$10</f>
        <v>37500</v>
      </c>
      <c r="N10" s="63" t="n">
        <f aca="false">J10-M10</f>
        <v>202830</v>
      </c>
      <c r="O10" s="63" t="n">
        <f aca="false">O9+N10</f>
        <v>600229</v>
      </c>
      <c r="P10" s="63" t="n">
        <f aca="false">前提条件!$C$8-SUM(M$8:M10)</f>
        <v>4387500</v>
      </c>
      <c r="Q10" s="64" t="str">
        <f aca="false">IF(AND(K10&gt;=前提条件!$C$8,K9&lt;前提条件!$C$8),"◀投資回収","")</f>
        <v/>
      </c>
    </row>
    <row r="11" customFormat="false" ht="15" hidden="false" customHeight="false" outlineLevel="0" collapsed="false">
      <c r="A11" s="57" t="n">
        <v>4</v>
      </c>
      <c r="B11" s="58" t="n">
        <f aca="false">EDATE(前提条件!$C$11,A11-1)</f>
        <v>46508</v>
      </c>
      <c r="C11" s="59" t="n">
        <f aca="false">YEAR(B11)+IF(MONTH(B11)&gt;=7,1,0)-2027+48</f>
        <v>48</v>
      </c>
      <c r="D11" s="60" t="n">
        <f aca="false">前提条件!$C$26/365*DAY(EOMONTH(B11,0))</f>
        <v>31</v>
      </c>
      <c r="E11" s="61" t="n">
        <v>1</v>
      </c>
      <c r="F11" s="62" t="n">
        <f aca="false">前提条件!$C$64*D11*E11</f>
        <v>259625</v>
      </c>
      <c r="G11" s="62" t="n">
        <f aca="false">前提条件!$C$65*D11*E11</f>
        <v>2976</v>
      </c>
      <c r="H11" s="62" t="n">
        <f aca="false">(前提条件!$C$66+前提条件!$C$67)*D11</f>
        <v>6510</v>
      </c>
      <c r="I11" s="62" t="n">
        <f aca="false">前提条件!$C$74/12</f>
        <v>7500</v>
      </c>
      <c r="J11" s="63" t="n">
        <f aca="false">F11+G11-H11-I11</f>
        <v>248591</v>
      </c>
      <c r="K11" s="63" t="n">
        <f aca="false">K10+J11</f>
        <v>961320</v>
      </c>
      <c r="L11" s="63" t="n">
        <f aca="false">MAX(前提条件!$C$8-K11,0)</f>
        <v>3538680</v>
      </c>
      <c r="M11" s="62" t="n">
        <f aca="false">前提条件!$C$10</f>
        <v>37500</v>
      </c>
      <c r="N11" s="63" t="n">
        <f aca="false">J11-M11</f>
        <v>211091</v>
      </c>
      <c r="O11" s="63" t="n">
        <f aca="false">O10+N11</f>
        <v>811320</v>
      </c>
      <c r="P11" s="63" t="n">
        <f aca="false">前提条件!$C$8-SUM(M$8:M11)</f>
        <v>4350000</v>
      </c>
      <c r="Q11" s="64" t="str">
        <f aca="false">IF(AND(K11&gt;=前提条件!$C$8,K10&lt;前提条件!$C$8),"◀投資回収","")</f>
        <v/>
      </c>
    </row>
    <row r="12" customFormat="false" ht="15" hidden="false" customHeight="false" outlineLevel="0" collapsed="false">
      <c r="A12" s="57" t="n">
        <v>5</v>
      </c>
      <c r="B12" s="58" t="n">
        <f aca="false">EDATE(前提条件!$C$11,A12-1)</f>
        <v>46539</v>
      </c>
      <c r="C12" s="59" t="n">
        <f aca="false">YEAR(B12)+IF(MONTH(B12)&gt;=7,1,0)-2027+48</f>
        <v>48</v>
      </c>
      <c r="D12" s="60" t="n">
        <f aca="false">前提条件!$C$26/365*DAY(EOMONTH(B12,0))</f>
        <v>30</v>
      </c>
      <c r="E12" s="61" t="n">
        <v>1</v>
      </c>
      <c r="F12" s="62" t="n">
        <f aca="false">前提条件!$C$64*D12*E12</f>
        <v>251250</v>
      </c>
      <c r="G12" s="62" t="n">
        <f aca="false">前提条件!$C$65*D12*E12</f>
        <v>2880</v>
      </c>
      <c r="H12" s="62" t="n">
        <f aca="false">(前提条件!$C$66+前提条件!$C$67)*D12</f>
        <v>6300</v>
      </c>
      <c r="I12" s="62" t="n">
        <f aca="false">前提条件!$C$74/12</f>
        <v>7500</v>
      </c>
      <c r="J12" s="63" t="n">
        <f aca="false">F12+G12-H12-I12</f>
        <v>240330</v>
      </c>
      <c r="K12" s="63" t="n">
        <f aca="false">K11+J12</f>
        <v>1201650</v>
      </c>
      <c r="L12" s="63" t="n">
        <f aca="false">MAX(前提条件!$C$8-K12,0)</f>
        <v>3298350</v>
      </c>
      <c r="M12" s="62" t="n">
        <f aca="false">前提条件!$C$10</f>
        <v>37500</v>
      </c>
      <c r="N12" s="63" t="n">
        <f aca="false">J12-M12</f>
        <v>202830</v>
      </c>
      <c r="O12" s="63" t="n">
        <f aca="false">O11+N12</f>
        <v>1014150</v>
      </c>
      <c r="P12" s="63" t="n">
        <f aca="false">前提条件!$C$8-SUM(M$8:M12)</f>
        <v>4312500</v>
      </c>
      <c r="Q12" s="64" t="str">
        <f aca="false">IF(AND(K12&gt;=前提条件!$C$8,K11&lt;前提条件!$C$8),"◀投資回収","")</f>
        <v/>
      </c>
    </row>
    <row r="13" customFormat="false" ht="15" hidden="false" customHeight="false" outlineLevel="0" collapsed="false">
      <c r="A13" s="57" t="n">
        <v>6</v>
      </c>
      <c r="B13" s="58" t="n">
        <f aca="false">EDATE(前提条件!$C$11,A13-1)</f>
        <v>46569</v>
      </c>
      <c r="C13" s="59" t="n">
        <f aca="false">YEAR(B13)+IF(MONTH(B13)&gt;=7,1,0)-2027+48</f>
        <v>49</v>
      </c>
      <c r="D13" s="60" t="n">
        <f aca="false">前提条件!$C$26/365*DAY(EOMONTH(B13,0))</f>
        <v>31</v>
      </c>
      <c r="E13" s="61" t="n">
        <v>1</v>
      </c>
      <c r="F13" s="62" t="n">
        <f aca="false">前提条件!$C$64*D13*E13</f>
        <v>259625</v>
      </c>
      <c r="G13" s="62" t="n">
        <f aca="false">前提条件!$C$65*D13*E13</f>
        <v>2976</v>
      </c>
      <c r="H13" s="62" t="n">
        <f aca="false">(前提条件!$C$66+前提条件!$C$67)*D13</f>
        <v>6510</v>
      </c>
      <c r="I13" s="62" t="n">
        <f aca="false">前提条件!$C$74/12</f>
        <v>7500</v>
      </c>
      <c r="J13" s="63" t="n">
        <f aca="false">F13+G13-H13-I13</f>
        <v>248591</v>
      </c>
      <c r="K13" s="63" t="n">
        <f aca="false">K12+J13</f>
        <v>1450241</v>
      </c>
      <c r="L13" s="63" t="n">
        <f aca="false">MAX(前提条件!$C$8-K13,0)</f>
        <v>3049759</v>
      </c>
      <c r="M13" s="62" t="n">
        <f aca="false">前提条件!$C$10</f>
        <v>37500</v>
      </c>
      <c r="N13" s="63" t="n">
        <f aca="false">J13-M13</f>
        <v>211091</v>
      </c>
      <c r="O13" s="63" t="n">
        <f aca="false">O12+N13</f>
        <v>1225241</v>
      </c>
      <c r="P13" s="63" t="n">
        <f aca="false">前提条件!$C$8-SUM(M$8:M13)</f>
        <v>4275000</v>
      </c>
      <c r="Q13" s="64" t="str">
        <f aca="false">IF(AND(K13&gt;=前提条件!$C$8,K12&lt;前提条件!$C$8),"◀投資回収","")</f>
        <v/>
      </c>
    </row>
    <row r="14" customFormat="false" ht="15" hidden="false" customHeight="false" outlineLevel="0" collapsed="false">
      <c r="A14" s="57" t="n">
        <v>7</v>
      </c>
      <c r="B14" s="58" t="n">
        <f aca="false">EDATE(前提条件!$C$11,A14-1)</f>
        <v>46600</v>
      </c>
      <c r="C14" s="59" t="n">
        <f aca="false">YEAR(B14)+IF(MONTH(B14)&gt;=7,1,0)-2027+48</f>
        <v>49</v>
      </c>
      <c r="D14" s="60" t="n">
        <f aca="false">前提条件!$C$26/365*DAY(EOMONTH(B14,0))</f>
        <v>31</v>
      </c>
      <c r="E14" s="61" t="n">
        <v>1</v>
      </c>
      <c r="F14" s="62" t="n">
        <f aca="false">前提条件!$C$64*D14*E14</f>
        <v>259625</v>
      </c>
      <c r="G14" s="62" t="n">
        <f aca="false">前提条件!$C$65*D14*E14</f>
        <v>2976</v>
      </c>
      <c r="H14" s="62" t="n">
        <f aca="false">(前提条件!$C$66+前提条件!$C$67)*D14</f>
        <v>6510</v>
      </c>
      <c r="I14" s="62" t="n">
        <f aca="false">前提条件!$C$74/12</f>
        <v>7500</v>
      </c>
      <c r="J14" s="63" t="n">
        <f aca="false">F14+G14-H14-I14</f>
        <v>248591</v>
      </c>
      <c r="K14" s="63" t="n">
        <f aca="false">K13+J14</f>
        <v>1698832</v>
      </c>
      <c r="L14" s="63" t="n">
        <f aca="false">MAX(前提条件!$C$8-K14,0)</f>
        <v>2801168</v>
      </c>
      <c r="M14" s="62" t="n">
        <f aca="false">前提条件!$C$10</f>
        <v>37500</v>
      </c>
      <c r="N14" s="63" t="n">
        <f aca="false">J14-M14</f>
        <v>211091</v>
      </c>
      <c r="O14" s="63" t="n">
        <f aca="false">O13+N14</f>
        <v>1436332</v>
      </c>
      <c r="P14" s="63" t="n">
        <f aca="false">前提条件!$C$8-SUM(M$8:M14)</f>
        <v>4237500</v>
      </c>
      <c r="Q14" s="64" t="str">
        <f aca="false">IF(AND(K14&gt;=前提条件!$C$8,K13&lt;前提条件!$C$8),"◀投資回収","")</f>
        <v/>
      </c>
    </row>
    <row r="15" customFormat="false" ht="15" hidden="false" customHeight="false" outlineLevel="0" collapsed="false">
      <c r="A15" s="57" t="n">
        <v>8</v>
      </c>
      <c r="B15" s="58" t="n">
        <f aca="false">EDATE(前提条件!$C$11,A15-1)</f>
        <v>46631</v>
      </c>
      <c r="C15" s="59" t="n">
        <f aca="false">YEAR(B15)+IF(MONTH(B15)&gt;=7,1,0)-2027+48</f>
        <v>49</v>
      </c>
      <c r="D15" s="60" t="n">
        <f aca="false">前提条件!$C$26/365*DAY(EOMONTH(B15,0))</f>
        <v>30</v>
      </c>
      <c r="E15" s="61" t="n">
        <v>1</v>
      </c>
      <c r="F15" s="62" t="n">
        <f aca="false">前提条件!$C$64*D15*E15</f>
        <v>251250</v>
      </c>
      <c r="G15" s="62" t="n">
        <f aca="false">前提条件!$C$65*D15*E15</f>
        <v>2880</v>
      </c>
      <c r="H15" s="62" t="n">
        <f aca="false">(前提条件!$C$66+前提条件!$C$67)*D15</f>
        <v>6300</v>
      </c>
      <c r="I15" s="62" t="n">
        <f aca="false">前提条件!$C$74/12</f>
        <v>7500</v>
      </c>
      <c r="J15" s="63" t="n">
        <f aca="false">F15+G15-H15-I15</f>
        <v>240330</v>
      </c>
      <c r="K15" s="63" t="n">
        <f aca="false">K14+J15</f>
        <v>1939162</v>
      </c>
      <c r="L15" s="63" t="n">
        <f aca="false">MAX(前提条件!$C$8-K15,0)</f>
        <v>2560838</v>
      </c>
      <c r="M15" s="62" t="n">
        <f aca="false">前提条件!$C$10</f>
        <v>37500</v>
      </c>
      <c r="N15" s="63" t="n">
        <f aca="false">J15-M15</f>
        <v>202830</v>
      </c>
      <c r="O15" s="63" t="n">
        <f aca="false">O14+N15</f>
        <v>1639162</v>
      </c>
      <c r="P15" s="63" t="n">
        <f aca="false">前提条件!$C$8-SUM(M$8:M15)</f>
        <v>4200000</v>
      </c>
      <c r="Q15" s="64" t="str">
        <f aca="false">IF(AND(K15&gt;=前提条件!$C$8,K14&lt;前提条件!$C$8),"◀投資回収","")</f>
        <v/>
      </c>
    </row>
    <row r="16" customFormat="false" ht="15" hidden="false" customHeight="false" outlineLevel="0" collapsed="false">
      <c r="A16" s="57" t="n">
        <v>9</v>
      </c>
      <c r="B16" s="58" t="n">
        <f aca="false">EDATE(前提条件!$C$11,A16-1)</f>
        <v>46661</v>
      </c>
      <c r="C16" s="59" t="n">
        <f aca="false">YEAR(B16)+IF(MONTH(B16)&gt;=7,1,0)-2027+48</f>
        <v>49</v>
      </c>
      <c r="D16" s="60" t="n">
        <f aca="false">前提条件!$C$26/365*DAY(EOMONTH(B16,0))</f>
        <v>31</v>
      </c>
      <c r="E16" s="61" t="n">
        <v>1</v>
      </c>
      <c r="F16" s="62" t="n">
        <f aca="false">前提条件!$C$64*D16*E16</f>
        <v>259625</v>
      </c>
      <c r="G16" s="62" t="n">
        <f aca="false">前提条件!$C$65*D16*E16</f>
        <v>2976</v>
      </c>
      <c r="H16" s="62" t="n">
        <f aca="false">(前提条件!$C$66+前提条件!$C$67)*D16</f>
        <v>6510</v>
      </c>
      <c r="I16" s="62" t="n">
        <f aca="false">前提条件!$C$74/12</f>
        <v>7500</v>
      </c>
      <c r="J16" s="63" t="n">
        <f aca="false">F16+G16-H16-I16</f>
        <v>248591</v>
      </c>
      <c r="K16" s="63" t="n">
        <f aca="false">K15+J16</f>
        <v>2187753</v>
      </c>
      <c r="L16" s="63" t="n">
        <f aca="false">MAX(前提条件!$C$8-K16,0)</f>
        <v>2312247</v>
      </c>
      <c r="M16" s="62" t="n">
        <f aca="false">前提条件!$C$10</f>
        <v>37500</v>
      </c>
      <c r="N16" s="63" t="n">
        <f aca="false">J16-M16</f>
        <v>211091</v>
      </c>
      <c r="O16" s="63" t="n">
        <f aca="false">O15+N16</f>
        <v>1850253</v>
      </c>
      <c r="P16" s="63" t="n">
        <f aca="false">前提条件!$C$8-SUM(M$8:M16)</f>
        <v>4162500</v>
      </c>
      <c r="Q16" s="64" t="str">
        <f aca="false">IF(AND(K16&gt;=前提条件!$C$8,K15&lt;前提条件!$C$8),"◀投資回収","")</f>
        <v/>
      </c>
    </row>
    <row r="17" customFormat="false" ht="15" hidden="false" customHeight="false" outlineLevel="0" collapsed="false">
      <c r="A17" s="57" t="n">
        <v>10</v>
      </c>
      <c r="B17" s="58" t="n">
        <f aca="false">EDATE(前提条件!$C$11,A17-1)</f>
        <v>46692</v>
      </c>
      <c r="C17" s="59" t="n">
        <f aca="false">YEAR(B17)+IF(MONTH(B17)&gt;=7,1,0)-2027+48</f>
        <v>49</v>
      </c>
      <c r="D17" s="60" t="n">
        <f aca="false">前提条件!$C$26/365*DAY(EOMONTH(B17,0))</f>
        <v>30</v>
      </c>
      <c r="E17" s="61" t="n">
        <v>1</v>
      </c>
      <c r="F17" s="62" t="n">
        <f aca="false">前提条件!$C$64*D17*E17</f>
        <v>251250</v>
      </c>
      <c r="G17" s="62" t="n">
        <f aca="false">前提条件!$C$65*D17*E17</f>
        <v>2880</v>
      </c>
      <c r="H17" s="62" t="n">
        <f aca="false">(前提条件!$C$66+前提条件!$C$67)*D17</f>
        <v>6300</v>
      </c>
      <c r="I17" s="62" t="n">
        <f aca="false">前提条件!$C$74/12</f>
        <v>7500</v>
      </c>
      <c r="J17" s="63" t="n">
        <f aca="false">F17+G17-H17-I17</f>
        <v>240330</v>
      </c>
      <c r="K17" s="63" t="n">
        <f aca="false">K16+J17</f>
        <v>2428083</v>
      </c>
      <c r="L17" s="63" t="n">
        <f aca="false">MAX(前提条件!$C$8-K17,0)</f>
        <v>2071917</v>
      </c>
      <c r="M17" s="62" t="n">
        <f aca="false">前提条件!$C$10</f>
        <v>37500</v>
      </c>
      <c r="N17" s="63" t="n">
        <f aca="false">J17-M17</f>
        <v>202830</v>
      </c>
      <c r="O17" s="63" t="n">
        <f aca="false">O16+N17</f>
        <v>2053083</v>
      </c>
      <c r="P17" s="63" t="n">
        <f aca="false">前提条件!$C$8-SUM(M$8:M17)</f>
        <v>4125000</v>
      </c>
      <c r="Q17" s="64" t="str">
        <f aca="false">IF(AND(K17&gt;=前提条件!$C$8,K16&lt;前提条件!$C$8),"◀投資回収","")</f>
        <v/>
      </c>
    </row>
    <row r="18" customFormat="false" ht="15" hidden="false" customHeight="false" outlineLevel="0" collapsed="false">
      <c r="A18" s="57" t="n">
        <v>11</v>
      </c>
      <c r="B18" s="58" t="n">
        <f aca="false">EDATE(前提条件!$C$11,A18-1)</f>
        <v>46722</v>
      </c>
      <c r="C18" s="59" t="n">
        <f aca="false">YEAR(B18)+IF(MONTH(B18)&gt;=7,1,0)-2027+48</f>
        <v>49</v>
      </c>
      <c r="D18" s="60" t="n">
        <f aca="false">前提条件!$C$26/365*DAY(EOMONTH(B18,0))</f>
        <v>31</v>
      </c>
      <c r="E18" s="61" t="n">
        <v>1</v>
      </c>
      <c r="F18" s="62" t="n">
        <f aca="false">前提条件!$C$64*D18*E18</f>
        <v>259625</v>
      </c>
      <c r="G18" s="62" t="n">
        <f aca="false">前提条件!$C$65*D18*E18</f>
        <v>2976</v>
      </c>
      <c r="H18" s="62" t="n">
        <f aca="false">(前提条件!$C$66+前提条件!$C$67)*D18</f>
        <v>6510</v>
      </c>
      <c r="I18" s="62" t="n">
        <f aca="false">前提条件!$C$74/12</f>
        <v>7500</v>
      </c>
      <c r="J18" s="63" t="n">
        <f aca="false">F18+G18-H18-I18</f>
        <v>248591</v>
      </c>
      <c r="K18" s="63" t="n">
        <f aca="false">K17+J18</f>
        <v>2676674</v>
      </c>
      <c r="L18" s="63" t="n">
        <f aca="false">MAX(前提条件!$C$8-K18,0)</f>
        <v>1823326</v>
      </c>
      <c r="M18" s="62" t="n">
        <f aca="false">前提条件!$C$10</f>
        <v>37500</v>
      </c>
      <c r="N18" s="63" t="n">
        <f aca="false">J18-M18</f>
        <v>211091</v>
      </c>
      <c r="O18" s="63" t="n">
        <f aca="false">O17+N18</f>
        <v>2264174</v>
      </c>
      <c r="P18" s="63" t="n">
        <f aca="false">前提条件!$C$8-SUM(M$8:M18)</f>
        <v>4087500</v>
      </c>
      <c r="Q18" s="64" t="str">
        <f aca="false">IF(AND(K18&gt;=前提条件!$C$8,K17&lt;前提条件!$C$8),"◀投資回収","")</f>
        <v/>
      </c>
    </row>
    <row r="19" customFormat="false" ht="15" hidden="false" customHeight="false" outlineLevel="0" collapsed="false">
      <c r="A19" s="57" t="n">
        <v>12</v>
      </c>
      <c r="B19" s="58" t="n">
        <f aca="false">EDATE(前提条件!$C$11,A19-1)</f>
        <v>46753</v>
      </c>
      <c r="C19" s="59" t="n">
        <f aca="false">YEAR(B19)+IF(MONTH(B19)&gt;=7,1,0)-2027+48</f>
        <v>49</v>
      </c>
      <c r="D19" s="60" t="n">
        <f aca="false">前提条件!$C$26/365*DAY(EOMONTH(B19,0))</f>
        <v>31</v>
      </c>
      <c r="E19" s="61" t="n">
        <v>1</v>
      </c>
      <c r="F19" s="62" t="n">
        <f aca="false">前提条件!$C$64*D19*E19</f>
        <v>259625</v>
      </c>
      <c r="G19" s="62" t="n">
        <f aca="false">前提条件!$C$65*D19*E19</f>
        <v>2976</v>
      </c>
      <c r="H19" s="62" t="n">
        <f aca="false">(前提条件!$C$66+前提条件!$C$67)*D19</f>
        <v>6510</v>
      </c>
      <c r="I19" s="62" t="n">
        <f aca="false">前提条件!$C$74/12</f>
        <v>7500</v>
      </c>
      <c r="J19" s="63" t="n">
        <f aca="false">F19+G19-H19-I19</f>
        <v>248591</v>
      </c>
      <c r="K19" s="63" t="n">
        <f aca="false">K18+J19</f>
        <v>2925265</v>
      </c>
      <c r="L19" s="63" t="n">
        <f aca="false">MAX(前提条件!$C$8-K19,0)</f>
        <v>1574735</v>
      </c>
      <c r="M19" s="62" t="n">
        <f aca="false">前提条件!$C$10</f>
        <v>37500</v>
      </c>
      <c r="N19" s="63" t="n">
        <f aca="false">J19-M19</f>
        <v>211091</v>
      </c>
      <c r="O19" s="63" t="n">
        <f aca="false">O18+N19</f>
        <v>2475265</v>
      </c>
      <c r="P19" s="63" t="n">
        <f aca="false">前提条件!$C$8-SUM(M$8:M19)</f>
        <v>4050000</v>
      </c>
      <c r="Q19" s="64" t="str">
        <f aca="false">IF(AND(K19&gt;=前提条件!$C$8,K18&lt;前提条件!$C$8),"◀投資回収","")</f>
        <v/>
      </c>
    </row>
    <row r="20" customFormat="false" ht="15" hidden="false" customHeight="false" outlineLevel="0" collapsed="false">
      <c r="A20" s="57" t="n">
        <v>13</v>
      </c>
      <c r="B20" s="58" t="n">
        <f aca="false">EDATE(前提条件!$C$11,A20-1)</f>
        <v>46784</v>
      </c>
      <c r="C20" s="59" t="n">
        <f aca="false">YEAR(B20)+IF(MONTH(B20)&gt;=7,1,0)-2027+48</f>
        <v>49</v>
      </c>
      <c r="D20" s="60" t="n">
        <f aca="false">前提条件!$C$26/365*DAY(EOMONTH(B20,0))</f>
        <v>29</v>
      </c>
      <c r="E20" s="61" t="n">
        <v>1</v>
      </c>
      <c r="F20" s="62" t="n">
        <f aca="false">前提条件!$C$64*D20*E20</f>
        <v>242875</v>
      </c>
      <c r="G20" s="62" t="n">
        <f aca="false">前提条件!$C$65*D20*E20</f>
        <v>2784</v>
      </c>
      <c r="H20" s="62" t="n">
        <f aca="false">(前提条件!$C$66+前提条件!$C$67)*D20</f>
        <v>6090</v>
      </c>
      <c r="I20" s="62" t="n">
        <f aca="false">前提条件!$C$74/12</f>
        <v>7500</v>
      </c>
      <c r="J20" s="63" t="n">
        <f aca="false">F20+G20-H20-I20</f>
        <v>232069</v>
      </c>
      <c r="K20" s="63" t="n">
        <f aca="false">K19+J20</f>
        <v>3157334</v>
      </c>
      <c r="L20" s="63" t="n">
        <f aca="false">MAX(前提条件!$C$8-K20,0)</f>
        <v>1342666</v>
      </c>
      <c r="M20" s="62" t="n">
        <f aca="false">前提条件!$C$10</f>
        <v>37500</v>
      </c>
      <c r="N20" s="63" t="n">
        <f aca="false">J20-M20</f>
        <v>194569</v>
      </c>
      <c r="O20" s="63" t="n">
        <f aca="false">O19+N20</f>
        <v>2669834</v>
      </c>
      <c r="P20" s="63" t="n">
        <f aca="false">前提条件!$C$8-SUM(M$8:M20)</f>
        <v>4012500</v>
      </c>
      <c r="Q20" s="64" t="str">
        <f aca="false">IF(AND(K20&gt;=前提条件!$C$8,K19&lt;前提条件!$C$8),"◀投資回収","")</f>
        <v/>
      </c>
    </row>
    <row r="21" customFormat="false" ht="15" hidden="false" customHeight="false" outlineLevel="0" collapsed="false">
      <c r="A21" s="57" t="n">
        <v>14</v>
      </c>
      <c r="B21" s="58" t="n">
        <f aca="false">EDATE(前提条件!$C$11,A21-1)</f>
        <v>46813</v>
      </c>
      <c r="C21" s="59" t="n">
        <f aca="false">YEAR(B21)+IF(MONTH(B21)&gt;=7,1,0)-2027+48</f>
        <v>49</v>
      </c>
      <c r="D21" s="60" t="n">
        <f aca="false">前提条件!$C$26/365*DAY(EOMONTH(B21,0))</f>
        <v>31</v>
      </c>
      <c r="E21" s="61" t="n">
        <v>1</v>
      </c>
      <c r="F21" s="62" t="n">
        <f aca="false">前提条件!$C$64*D21*E21</f>
        <v>259625</v>
      </c>
      <c r="G21" s="62" t="n">
        <f aca="false">前提条件!$C$65*D21*E21</f>
        <v>2976</v>
      </c>
      <c r="H21" s="62" t="n">
        <f aca="false">(前提条件!$C$66+前提条件!$C$67)*D21</f>
        <v>6510</v>
      </c>
      <c r="I21" s="62" t="n">
        <f aca="false">前提条件!$C$74/12</f>
        <v>7500</v>
      </c>
      <c r="J21" s="63" t="n">
        <f aca="false">F21+G21-H21-I21</f>
        <v>248591</v>
      </c>
      <c r="K21" s="63" t="n">
        <f aca="false">K20+J21</f>
        <v>3405925</v>
      </c>
      <c r="L21" s="63" t="n">
        <f aca="false">MAX(前提条件!$C$8-K21,0)</f>
        <v>1094075</v>
      </c>
      <c r="M21" s="62" t="n">
        <f aca="false">前提条件!$C$10</f>
        <v>37500</v>
      </c>
      <c r="N21" s="63" t="n">
        <f aca="false">J21-M21</f>
        <v>211091</v>
      </c>
      <c r="O21" s="63" t="n">
        <f aca="false">O20+N21</f>
        <v>2880925</v>
      </c>
      <c r="P21" s="63" t="n">
        <f aca="false">前提条件!$C$8-SUM(M$8:M21)</f>
        <v>3975000</v>
      </c>
      <c r="Q21" s="64" t="str">
        <f aca="false">IF(AND(K21&gt;=前提条件!$C$8,K20&lt;前提条件!$C$8),"◀投資回収","")</f>
        <v/>
      </c>
    </row>
    <row r="22" customFormat="false" ht="15" hidden="false" customHeight="false" outlineLevel="0" collapsed="false">
      <c r="A22" s="57" t="n">
        <v>15</v>
      </c>
      <c r="B22" s="58" t="n">
        <f aca="false">EDATE(前提条件!$C$11,A22-1)</f>
        <v>46844</v>
      </c>
      <c r="C22" s="59" t="n">
        <f aca="false">YEAR(B22)+IF(MONTH(B22)&gt;=7,1,0)-2027+48</f>
        <v>49</v>
      </c>
      <c r="D22" s="60" t="n">
        <f aca="false">前提条件!$C$26/365*DAY(EOMONTH(B22,0))</f>
        <v>30</v>
      </c>
      <c r="E22" s="61" t="n">
        <v>1</v>
      </c>
      <c r="F22" s="62" t="n">
        <f aca="false">前提条件!$C$64*D22*E22</f>
        <v>251250</v>
      </c>
      <c r="G22" s="62" t="n">
        <f aca="false">前提条件!$C$65*D22*E22</f>
        <v>2880</v>
      </c>
      <c r="H22" s="62" t="n">
        <f aca="false">(前提条件!$C$66+前提条件!$C$67)*D22</f>
        <v>6300</v>
      </c>
      <c r="I22" s="62" t="n">
        <f aca="false">前提条件!$C$74/12</f>
        <v>7500</v>
      </c>
      <c r="J22" s="63" t="n">
        <f aca="false">F22+G22-H22-I22</f>
        <v>240330</v>
      </c>
      <c r="K22" s="63" t="n">
        <f aca="false">K21+J22</f>
        <v>3646255</v>
      </c>
      <c r="L22" s="63" t="n">
        <f aca="false">MAX(前提条件!$C$8-K22,0)</f>
        <v>853745</v>
      </c>
      <c r="M22" s="62" t="n">
        <f aca="false">前提条件!$C$10</f>
        <v>37500</v>
      </c>
      <c r="N22" s="63" t="n">
        <f aca="false">J22-M22</f>
        <v>202830</v>
      </c>
      <c r="O22" s="63" t="n">
        <f aca="false">O21+N22</f>
        <v>3083755</v>
      </c>
      <c r="P22" s="63" t="n">
        <f aca="false">前提条件!$C$8-SUM(M$8:M22)</f>
        <v>3937500</v>
      </c>
      <c r="Q22" s="64" t="str">
        <f aca="false">IF(AND(K22&gt;=前提条件!$C$8,K21&lt;前提条件!$C$8),"◀投資回収","")</f>
        <v/>
      </c>
    </row>
    <row r="23" customFormat="false" ht="15" hidden="false" customHeight="false" outlineLevel="0" collapsed="false">
      <c r="A23" s="57" t="n">
        <v>16</v>
      </c>
      <c r="B23" s="58" t="n">
        <f aca="false">EDATE(前提条件!$C$11,A23-1)</f>
        <v>46874</v>
      </c>
      <c r="C23" s="59" t="n">
        <f aca="false">YEAR(B23)+IF(MONTH(B23)&gt;=7,1,0)-2027+48</f>
        <v>49</v>
      </c>
      <c r="D23" s="60" t="n">
        <f aca="false">前提条件!$C$26/365*DAY(EOMONTH(B23,0))</f>
        <v>31</v>
      </c>
      <c r="E23" s="61" t="n">
        <v>1</v>
      </c>
      <c r="F23" s="62" t="n">
        <f aca="false">前提条件!$C$64*D23*E23</f>
        <v>259625</v>
      </c>
      <c r="G23" s="62" t="n">
        <f aca="false">前提条件!$C$65*D23*E23</f>
        <v>2976</v>
      </c>
      <c r="H23" s="62" t="n">
        <f aca="false">(前提条件!$C$66+前提条件!$C$67)*D23</f>
        <v>6510</v>
      </c>
      <c r="I23" s="62" t="n">
        <f aca="false">前提条件!$C$74/12</f>
        <v>7500</v>
      </c>
      <c r="J23" s="63" t="n">
        <f aca="false">F23+G23-H23-I23</f>
        <v>248591</v>
      </c>
      <c r="K23" s="63" t="n">
        <f aca="false">K22+J23</f>
        <v>3894846</v>
      </c>
      <c r="L23" s="63" t="n">
        <f aca="false">MAX(前提条件!$C$8-K23,0)</f>
        <v>605154</v>
      </c>
      <c r="M23" s="62" t="n">
        <f aca="false">前提条件!$C$10</f>
        <v>37500</v>
      </c>
      <c r="N23" s="63" t="n">
        <f aca="false">J23-M23</f>
        <v>211091</v>
      </c>
      <c r="O23" s="63" t="n">
        <f aca="false">O22+N23</f>
        <v>3294846</v>
      </c>
      <c r="P23" s="63" t="n">
        <f aca="false">前提条件!$C$8-SUM(M$8:M23)</f>
        <v>3900000</v>
      </c>
      <c r="Q23" s="64" t="str">
        <f aca="false">IF(AND(K23&gt;=前提条件!$C$8,K22&lt;前提条件!$C$8),"◀投資回収","")</f>
        <v/>
      </c>
    </row>
    <row r="24" customFormat="false" ht="15" hidden="false" customHeight="false" outlineLevel="0" collapsed="false">
      <c r="A24" s="57" t="n">
        <v>17</v>
      </c>
      <c r="B24" s="58" t="n">
        <f aca="false">EDATE(前提条件!$C$11,A24-1)</f>
        <v>46905</v>
      </c>
      <c r="C24" s="59" t="n">
        <f aca="false">YEAR(B24)+IF(MONTH(B24)&gt;=7,1,0)-2027+48</f>
        <v>49</v>
      </c>
      <c r="D24" s="60" t="n">
        <f aca="false">前提条件!$C$26/365*DAY(EOMONTH(B24,0))</f>
        <v>30</v>
      </c>
      <c r="E24" s="61" t="n">
        <v>1</v>
      </c>
      <c r="F24" s="62" t="n">
        <f aca="false">前提条件!$C$64*D24*E24</f>
        <v>251250</v>
      </c>
      <c r="G24" s="62" t="n">
        <f aca="false">前提条件!$C$65*D24*E24</f>
        <v>2880</v>
      </c>
      <c r="H24" s="62" t="n">
        <f aca="false">(前提条件!$C$66+前提条件!$C$67)*D24</f>
        <v>6300</v>
      </c>
      <c r="I24" s="62" t="n">
        <f aca="false">前提条件!$C$74/12</f>
        <v>7500</v>
      </c>
      <c r="J24" s="63" t="n">
        <f aca="false">F24+G24-H24-I24</f>
        <v>240330</v>
      </c>
      <c r="K24" s="63" t="n">
        <f aca="false">K23+J24</f>
        <v>4135176</v>
      </c>
      <c r="L24" s="63" t="n">
        <f aca="false">MAX(前提条件!$C$8-K24,0)</f>
        <v>364824</v>
      </c>
      <c r="M24" s="62" t="n">
        <f aca="false">前提条件!$C$10</f>
        <v>37500</v>
      </c>
      <c r="N24" s="63" t="n">
        <f aca="false">J24-M24</f>
        <v>202830</v>
      </c>
      <c r="O24" s="63" t="n">
        <f aca="false">O23+N24</f>
        <v>3497676</v>
      </c>
      <c r="P24" s="63" t="n">
        <f aca="false">前提条件!$C$8-SUM(M$8:M24)</f>
        <v>3862500</v>
      </c>
      <c r="Q24" s="64" t="str">
        <f aca="false">IF(AND(K24&gt;=前提条件!$C$8,K23&lt;前提条件!$C$8),"◀投資回収","")</f>
        <v/>
      </c>
    </row>
    <row r="25" customFormat="false" ht="15" hidden="false" customHeight="false" outlineLevel="0" collapsed="false">
      <c r="A25" s="57" t="n">
        <v>18</v>
      </c>
      <c r="B25" s="58" t="n">
        <f aca="false">EDATE(前提条件!$C$11,A25-1)</f>
        <v>46935</v>
      </c>
      <c r="C25" s="59" t="n">
        <f aca="false">YEAR(B25)+IF(MONTH(B25)&gt;=7,1,0)-2027+48</f>
        <v>50</v>
      </c>
      <c r="D25" s="60" t="n">
        <f aca="false">前提条件!$C$26/365*DAY(EOMONTH(B25,0))</f>
        <v>31</v>
      </c>
      <c r="E25" s="61" t="n">
        <v>1</v>
      </c>
      <c r="F25" s="62" t="n">
        <f aca="false">前提条件!$C$64*D25*E25</f>
        <v>259625</v>
      </c>
      <c r="G25" s="62" t="n">
        <f aca="false">前提条件!$C$65*D25*E25</f>
        <v>2976</v>
      </c>
      <c r="H25" s="62" t="n">
        <f aca="false">(前提条件!$C$66+前提条件!$C$67)*D25</f>
        <v>6510</v>
      </c>
      <c r="I25" s="62" t="n">
        <f aca="false">前提条件!$C$74/12</f>
        <v>7500</v>
      </c>
      <c r="J25" s="63" t="n">
        <f aca="false">F25+G25-H25-I25</f>
        <v>248591</v>
      </c>
      <c r="K25" s="63" t="n">
        <f aca="false">K24+J25</f>
        <v>4383767</v>
      </c>
      <c r="L25" s="63" t="n">
        <f aca="false">MAX(前提条件!$C$8-K25,0)</f>
        <v>116233</v>
      </c>
      <c r="M25" s="62" t="n">
        <f aca="false">前提条件!$C$10</f>
        <v>37500</v>
      </c>
      <c r="N25" s="63" t="n">
        <f aca="false">J25-M25</f>
        <v>211091</v>
      </c>
      <c r="O25" s="63" t="n">
        <f aca="false">O24+N25</f>
        <v>3708767</v>
      </c>
      <c r="P25" s="63" t="n">
        <f aca="false">前提条件!$C$8-SUM(M$8:M25)</f>
        <v>3825000</v>
      </c>
      <c r="Q25" s="64" t="str">
        <f aca="false">IF(AND(K25&gt;=前提条件!$C$8,K24&lt;前提条件!$C$8),"◀投資回収","")</f>
        <v/>
      </c>
    </row>
    <row r="26" customFormat="false" ht="15" hidden="false" customHeight="false" outlineLevel="0" collapsed="false">
      <c r="A26" s="57" t="n">
        <v>19</v>
      </c>
      <c r="B26" s="58" t="n">
        <f aca="false">EDATE(前提条件!$C$11,A26-1)</f>
        <v>46966</v>
      </c>
      <c r="C26" s="59" t="n">
        <f aca="false">YEAR(B26)+IF(MONTH(B26)&gt;=7,1,0)-2027+48</f>
        <v>50</v>
      </c>
      <c r="D26" s="60" t="n">
        <f aca="false">前提条件!$C$26/365*DAY(EOMONTH(B26,0))</f>
        <v>31</v>
      </c>
      <c r="E26" s="61" t="n">
        <v>1</v>
      </c>
      <c r="F26" s="62" t="n">
        <f aca="false">前提条件!$C$64*D26*E26</f>
        <v>259625</v>
      </c>
      <c r="G26" s="62" t="n">
        <f aca="false">前提条件!$C$65*D26*E26</f>
        <v>2976</v>
      </c>
      <c r="H26" s="62" t="n">
        <f aca="false">(前提条件!$C$66+前提条件!$C$67)*D26</f>
        <v>6510</v>
      </c>
      <c r="I26" s="62" t="n">
        <f aca="false">前提条件!$C$74/12</f>
        <v>7500</v>
      </c>
      <c r="J26" s="63" t="n">
        <f aca="false">F26+G26-H26-I26</f>
        <v>248591</v>
      </c>
      <c r="K26" s="63" t="n">
        <f aca="false">K25+J26</f>
        <v>4632358</v>
      </c>
      <c r="L26" s="63" t="n">
        <f aca="false">MAX(前提条件!$C$8-K26,0)</f>
        <v>0</v>
      </c>
      <c r="M26" s="62" t="n">
        <f aca="false">前提条件!$C$10</f>
        <v>37500</v>
      </c>
      <c r="N26" s="63" t="n">
        <f aca="false">J26-M26</f>
        <v>211091</v>
      </c>
      <c r="O26" s="63" t="n">
        <f aca="false">O25+N26</f>
        <v>3919858</v>
      </c>
      <c r="P26" s="63" t="n">
        <f aca="false">前提条件!$C$8-SUM(M$8:M26)</f>
        <v>3787500</v>
      </c>
      <c r="Q26" s="64" t="str">
        <f aca="false">IF(AND(K26&gt;=前提条件!$C$8,K25&lt;前提条件!$C$8),"◀投資回収","")</f>
        <v>◀投資回収</v>
      </c>
    </row>
    <row r="27" customFormat="false" ht="15" hidden="false" customHeight="false" outlineLevel="0" collapsed="false">
      <c r="A27" s="57" t="n">
        <v>20</v>
      </c>
      <c r="B27" s="58" t="n">
        <f aca="false">EDATE(前提条件!$C$11,A27-1)</f>
        <v>46997</v>
      </c>
      <c r="C27" s="59" t="n">
        <f aca="false">YEAR(B27)+IF(MONTH(B27)&gt;=7,1,0)-2027+48</f>
        <v>50</v>
      </c>
      <c r="D27" s="60" t="n">
        <f aca="false">前提条件!$C$26/365*DAY(EOMONTH(B27,0))</f>
        <v>30</v>
      </c>
      <c r="E27" s="61" t="n">
        <v>1</v>
      </c>
      <c r="F27" s="62" t="n">
        <f aca="false">前提条件!$C$64*D27*E27</f>
        <v>251250</v>
      </c>
      <c r="G27" s="62" t="n">
        <f aca="false">前提条件!$C$65*D27*E27</f>
        <v>2880</v>
      </c>
      <c r="H27" s="62" t="n">
        <f aca="false">(前提条件!$C$66+前提条件!$C$67)*D27</f>
        <v>6300</v>
      </c>
      <c r="I27" s="62" t="n">
        <f aca="false">前提条件!$C$74/12</f>
        <v>7500</v>
      </c>
      <c r="J27" s="63" t="n">
        <f aca="false">F27+G27-H27-I27</f>
        <v>240330</v>
      </c>
      <c r="K27" s="63" t="n">
        <f aca="false">K26+J27</f>
        <v>4872688</v>
      </c>
      <c r="L27" s="63" t="n">
        <f aca="false">MAX(前提条件!$C$8-K27,0)</f>
        <v>0</v>
      </c>
      <c r="M27" s="62" t="n">
        <f aca="false">前提条件!$C$10</f>
        <v>37500</v>
      </c>
      <c r="N27" s="63" t="n">
        <f aca="false">J27-M27</f>
        <v>202830</v>
      </c>
      <c r="O27" s="63" t="n">
        <f aca="false">O26+N27</f>
        <v>4122688</v>
      </c>
      <c r="P27" s="63" t="n">
        <f aca="false">前提条件!$C$8-SUM(M$8:M27)</f>
        <v>3750000</v>
      </c>
      <c r="Q27" s="64" t="str">
        <f aca="false">IF(AND(K27&gt;=前提条件!$C$8,K26&lt;前提条件!$C$8),"◀投資回収","")</f>
        <v/>
      </c>
    </row>
    <row r="28" customFormat="false" ht="15" hidden="false" customHeight="false" outlineLevel="0" collapsed="false">
      <c r="A28" s="57" t="n">
        <v>21</v>
      </c>
      <c r="B28" s="58" t="n">
        <f aca="false">EDATE(前提条件!$C$11,A28-1)</f>
        <v>47027</v>
      </c>
      <c r="C28" s="59" t="n">
        <f aca="false">YEAR(B28)+IF(MONTH(B28)&gt;=7,1,0)-2027+48</f>
        <v>50</v>
      </c>
      <c r="D28" s="60" t="n">
        <f aca="false">前提条件!$C$26/365*DAY(EOMONTH(B28,0))</f>
        <v>31</v>
      </c>
      <c r="E28" s="61" t="n">
        <v>1</v>
      </c>
      <c r="F28" s="62" t="n">
        <f aca="false">前提条件!$C$64*D28*E28</f>
        <v>259625</v>
      </c>
      <c r="G28" s="62" t="n">
        <f aca="false">前提条件!$C$65*D28*E28</f>
        <v>2976</v>
      </c>
      <c r="H28" s="62" t="n">
        <f aca="false">(前提条件!$C$66+前提条件!$C$67)*D28</f>
        <v>6510</v>
      </c>
      <c r="I28" s="62" t="n">
        <f aca="false">前提条件!$C$74/12</f>
        <v>7500</v>
      </c>
      <c r="J28" s="63" t="n">
        <f aca="false">F28+G28-H28-I28</f>
        <v>248591</v>
      </c>
      <c r="K28" s="63" t="n">
        <f aca="false">K27+J28</f>
        <v>5121279</v>
      </c>
      <c r="L28" s="63" t="n">
        <f aca="false">MAX(前提条件!$C$8-K28,0)</f>
        <v>0</v>
      </c>
      <c r="M28" s="62" t="n">
        <f aca="false">前提条件!$C$10</f>
        <v>37500</v>
      </c>
      <c r="N28" s="63" t="n">
        <f aca="false">J28-M28</f>
        <v>211091</v>
      </c>
      <c r="O28" s="63" t="n">
        <f aca="false">O27+N28</f>
        <v>4333779</v>
      </c>
      <c r="P28" s="63" t="n">
        <f aca="false">前提条件!$C$8-SUM(M$8:M28)</f>
        <v>3712500</v>
      </c>
      <c r="Q28" s="64" t="str">
        <f aca="false">IF(AND(K28&gt;=前提条件!$C$8,K27&lt;前提条件!$C$8),"◀投資回収","")</f>
        <v/>
      </c>
    </row>
    <row r="29" customFormat="false" ht="15" hidden="false" customHeight="false" outlineLevel="0" collapsed="false">
      <c r="A29" s="57" t="n">
        <v>22</v>
      </c>
      <c r="B29" s="58" t="n">
        <f aca="false">EDATE(前提条件!$C$11,A29-1)</f>
        <v>47058</v>
      </c>
      <c r="C29" s="59" t="n">
        <f aca="false">YEAR(B29)+IF(MONTH(B29)&gt;=7,1,0)-2027+48</f>
        <v>50</v>
      </c>
      <c r="D29" s="60" t="n">
        <f aca="false">前提条件!$C$26/365*DAY(EOMONTH(B29,0))</f>
        <v>30</v>
      </c>
      <c r="E29" s="61" t="n">
        <v>1</v>
      </c>
      <c r="F29" s="62" t="n">
        <f aca="false">前提条件!$C$64*D29*E29</f>
        <v>251250</v>
      </c>
      <c r="G29" s="62" t="n">
        <f aca="false">前提条件!$C$65*D29*E29</f>
        <v>2880</v>
      </c>
      <c r="H29" s="62" t="n">
        <f aca="false">(前提条件!$C$66+前提条件!$C$67)*D29</f>
        <v>6300</v>
      </c>
      <c r="I29" s="62" t="n">
        <f aca="false">前提条件!$C$74/12</f>
        <v>7500</v>
      </c>
      <c r="J29" s="63" t="n">
        <f aca="false">F29+G29-H29-I29</f>
        <v>240330</v>
      </c>
      <c r="K29" s="63" t="n">
        <f aca="false">K28+J29</f>
        <v>5361609</v>
      </c>
      <c r="L29" s="63" t="n">
        <f aca="false">MAX(前提条件!$C$8-K29,0)</f>
        <v>0</v>
      </c>
      <c r="M29" s="62" t="n">
        <f aca="false">前提条件!$C$10</f>
        <v>37500</v>
      </c>
      <c r="N29" s="63" t="n">
        <f aca="false">J29-M29</f>
        <v>202830</v>
      </c>
      <c r="O29" s="63" t="n">
        <f aca="false">O28+N29</f>
        <v>4536609</v>
      </c>
      <c r="P29" s="63" t="n">
        <f aca="false">前提条件!$C$8-SUM(M$8:M29)</f>
        <v>3675000</v>
      </c>
      <c r="Q29" s="64" t="str">
        <f aca="false">IF(AND(K29&gt;=前提条件!$C$8,K28&lt;前提条件!$C$8),"◀投資回収","")</f>
        <v/>
      </c>
    </row>
    <row r="30" customFormat="false" ht="15" hidden="false" customHeight="false" outlineLevel="0" collapsed="false">
      <c r="A30" s="57" t="n">
        <v>23</v>
      </c>
      <c r="B30" s="58" t="n">
        <f aca="false">EDATE(前提条件!$C$11,A30-1)</f>
        <v>47088</v>
      </c>
      <c r="C30" s="59" t="n">
        <f aca="false">YEAR(B30)+IF(MONTH(B30)&gt;=7,1,0)-2027+48</f>
        <v>50</v>
      </c>
      <c r="D30" s="60" t="n">
        <f aca="false">前提条件!$C$26/365*DAY(EOMONTH(B30,0))</f>
        <v>31</v>
      </c>
      <c r="E30" s="61" t="n">
        <v>1</v>
      </c>
      <c r="F30" s="62" t="n">
        <f aca="false">前提条件!$C$64*D30*E30</f>
        <v>259625</v>
      </c>
      <c r="G30" s="62" t="n">
        <f aca="false">前提条件!$C$65*D30*E30</f>
        <v>2976</v>
      </c>
      <c r="H30" s="62" t="n">
        <f aca="false">(前提条件!$C$66+前提条件!$C$67)*D30</f>
        <v>6510</v>
      </c>
      <c r="I30" s="62" t="n">
        <f aca="false">前提条件!$C$74/12</f>
        <v>7500</v>
      </c>
      <c r="J30" s="63" t="n">
        <f aca="false">F30+G30-H30-I30</f>
        <v>248591</v>
      </c>
      <c r="K30" s="63" t="n">
        <f aca="false">K29+J30</f>
        <v>5610200</v>
      </c>
      <c r="L30" s="63" t="n">
        <f aca="false">MAX(前提条件!$C$8-K30,0)</f>
        <v>0</v>
      </c>
      <c r="M30" s="62" t="n">
        <f aca="false">前提条件!$C$10</f>
        <v>37500</v>
      </c>
      <c r="N30" s="63" t="n">
        <f aca="false">J30-M30</f>
        <v>211091</v>
      </c>
      <c r="O30" s="63" t="n">
        <f aca="false">O29+N30</f>
        <v>4747700</v>
      </c>
      <c r="P30" s="63" t="n">
        <f aca="false">前提条件!$C$8-SUM(M$8:M30)</f>
        <v>3637500</v>
      </c>
      <c r="Q30" s="64" t="str">
        <f aca="false">IF(AND(K30&gt;=前提条件!$C$8,K29&lt;前提条件!$C$8),"◀投資回収","")</f>
        <v/>
      </c>
    </row>
    <row r="31" customFormat="false" ht="15" hidden="false" customHeight="false" outlineLevel="0" collapsed="false">
      <c r="A31" s="57" t="n">
        <v>24</v>
      </c>
      <c r="B31" s="58" t="n">
        <f aca="false">EDATE(前提条件!$C$11,A31-1)</f>
        <v>47119</v>
      </c>
      <c r="C31" s="59" t="n">
        <f aca="false">YEAR(B31)+IF(MONTH(B31)&gt;=7,1,0)-2027+48</f>
        <v>50</v>
      </c>
      <c r="D31" s="60" t="n">
        <f aca="false">前提条件!$C$26/365*DAY(EOMONTH(B31,0))</f>
        <v>31</v>
      </c>
      <c r="E31" s="61" t="n">
        <v>1</v>
      </c>
      <c r="F31" s="62" t="n">
        <f aca="false">前提条件!$C$64*D31*E31</f>
        <v>259625</v>
      </c>
      <c r="G31" s="62" t="n">
        <f aca="false">前提条件!$C$65*D31*E31</f>
        <v>2976</v>
      </c>
      <c r="H31" s="62" t="n">
        <f aca="false">(前提条件!$C$66+前提条件!$C$67)*D31</f>
        <v>6510</v>
      </c>
      <c r="I31" s="62" t="n">
        <f aca="false">前提条件!$C$74/12</f>
        <v>7500</v>
      </c>
      <c r="J31" s="63" t="n">
        <f aca="false">F31+G31-H31-I31</f>
        <v>248591</v>
      </c>
      <c r="K31" s="63" t="n">
        <f aca="false">K30+J31</f>
        <v>5858791</v>
      </c>
      <c r="L31" s="63" t="n">
        <f aca="false">MAX(前提条件!$C$8-K31,0)</f>
        <v>0</v>
      </c>
      <c r="M31" s="62" t="n">
        <f aca="false">前提条件!$C$10</f>
        <v>37500</v>
      </c>
      <c r="N31" s="63" t="n">
        <f aca="false">J31-M31</f>
        <v>211091</v>
      </c>
      <c r="O31" s="63" t="n">
        <f aca="false">O30+N31</f>
        <v>4958791</v>
      </c>
      <c r="P31" s="63" t="n">
        <f aca="false">前提条件!$C$8-SUM(M$8:M31)</f>
        <v>3600000</v>
      </c>
      <c r="Q31" s="64" t="str">
        <f aca="false">IF(AND(K31&gt;=前提条件!$C$8,K30&lt;前提条件!$C$8),"◀投資回収","")</f>
        <v/>
      </c>
    </row>
    <row r="32" customFormat="false" ht="15" hidden="false" customHeight="false" outlineLevel="0" collapsed="false">
      <c r="A32" s="57" t="n">
        <v>25</v>
      </c>
      <c r="B32" s="58" t="n">
        <f aca="false">EDATE(前提条件!$C$11,A32-1)</f>
        <v>47150</v>
      </c>
      <c r="C32" s="59" t="n">
        <f aca="false">YEAR(B32)+IF(MONTH(B32)&gt;=7,1,0)-2027+48</f>
        <v>50</v>
      </c>
      <c r="D32" s="60" t="n">
        <f aca="false">前提条件!$C$26/365*DAY(EOMONTH(B32,0))</f>
        <v>28</v>
      </c>
      <c r="E32" s="61" t="n">
        <v>1</v>
      </c>
      <c r="F32" s="62" t="n">
        <f aca="false">前提条件!$C$64*D32*E32</f>
        <v>234500</v>
      </c>
      <c r="G32" s="62" t="n">
        <f aca="false">前提条件!$C$65*D32*E32</f>
        <v>2688</v>
      </c>
      <c r="H32" s="62" t="n">
        <f aca="false">(前提条件!$C$66+前提条件!$C$67)*D32</f>
        <v>5880</v>
      </c>
      <c r="I32" s="62" t="n">
        <f aca="false">前提条件!$C$74/12</f>
        <v>7500</v>
      </c>
      <c r="J32" s="63" t="n">
        <f aca="false">F32+G32-H32-I32</f>
        <v>223808</v>
      </c>
      <c r="K32" s="63" t="n">
        <f aca="false">K31+J32</f>
        <v>6082599</v>
      </c>
      <c r="L32" s="63" t="n">
        <f aca="false">MAX(前提条件!$C$8-K32,0)</f>
        <v>0</v>
      </c>
      <c r="M32" s="62" t="n">
        <f aca="false">前提条件!$C$10</f>
        <v>37500</v>
      </c>
      <c r="N32" s="63" t="n">
        <f aca="false">J32-M32</f>
        <v>186308</v>
      </c>
      <c r="O32" s="63" t="n">
        <f aca="false">O31+N32</f>
        <v>5145099</v>
      </c>
      <c r="P32" s="63" t="n">
        <f aca="false">前提条件!$C$8-SUM(M$8:M32)</f>
        <v>3562500</v>
      </c>
      <c r="Q32" s="64" t="str">
        <f aca="false">IF(AND(K32&gt;=前提条件!$C$8,K31&lt;前提条件!$C$8),"◀投資回収","")</f>
        <v/>
      </c>
    </row>
    <row r="33" customFormat="false" ht="15" hidden="false" customHeight="false" outlineLevel="0" collapsed="false">
      <c r="A33" s="57" t="n">
        <v>26</v>
      </c>
      <c r="B33" s="58" t="n">
        <f aca="false">EDATE(前提条件!$C$11,A33-1)</f>
        <v>47178</v>
      </c>
      <c r="C33" s="59" t="n">
        <f aca="false">YEAR(B33)+IF(MONTH(B33)&gt;=7,1,0)-2027+48</f>
        <v>50</v>
      </c>
      <c r="D33" s="60" t="n">
        <f aca="false">前提条件!$C$26/365*DAY(EOMONTH(B33,0))</f>
        <v>31</v>
      </c>
      <c r="E33" s="61" t="n">
        <v>1</v>
      </c>
      <c r="F33" s="62" t="n">
        <f aca="false">前提条件!$C$64*D33*E33</f>
        <v>259625</v>
      </c>
      <c r="G33" s="62" t="n">
        <f aca="false">前提条件!$C$65*D33*E33</f>
        <v>2976</v>
      </c>
      <c r="H33" s="62" t="n">
        <f aca="false">(前提条件!$C$66+前提条件!$C$67)*D33</f>
        <v>6510</v>
      </c>
      <c r="I33" s="62" t="n">
        <f aca="false">前提条件!$C$74/12</f>
        <v>7500</v>
      </c>
      <c r="J33" s="63" t="n">
        <f aca="false">F33+G33-H33-I33</f>
        <v>248591</v>
      </c>
      <c r="K33" s="63" t="n">
        <f aca="false">K32+J33</f>
        <v>6331190</v>
      </c>
      <c r="L33" s="63" t="n">
        <f aca="false">MAX(前提条件!$C$8-K33,0)</f>
        <v>0</v>
      </c>
      <c r="M33" s="62" t="n">
        <f aca="false">前提条件!$C$10</f>
        <v>37500</v>
      </c>
      <c r="N33" s="63" t="n">
        <f aca="false">J33-M33</f>
        <v>211091</v>
      </c>
      <c r="O33" s="63" t="n">
        <f aca="false">O32+N33</f>
        <v>5356190</v>
      </c>
      <c r="P33" s="63" t="n">
        <f aca="false">前提条件!$C$8-SUM(M$8:M33)</f>
        <v>3525000</v>
      </c>
      <c r="Q33" s="64" t="str">
        <f aca="false">IF(AND(K33&gt;=前提条件!$C$8,K32&lt;前提条件!$C$8),"◀投資回収","")</f>
        <v/>
      </c>
    </row>
    <row r="34" customFormat="false" ht="15" hidden="false" customHeight="false" outlineLevel="0" collapsed="false">
      <c r="A34" s="57" t="n">
        <v>27</v>
      </c>
      <c r="B34" s="58" t="n">
        <f aca="false">EDATE(前提条件!$C$11,A34-1)</f>
        <v>47209</v>
      </c>
      <c r="C34" s="59" t="n">
        <f aca="false">YEAR(B34)+IF(MONTH(B34)&gt;=7,1,0)-2027+48</f>
        <v>50</v>
      </c>
      <c r="D34" s="60" t="n">
        <f aca="false">前提条件!$C$26/365*DAY(EOMONTH(B34,0))</f>
        <v>30</v>
      </c>
      <c r="E34" s="61" t="n">
        <v>1</v>
      </c>
      <c r="F34" s="62" t="n">
        <f aca="false">前提条件!$C$64*D34*E34</f>
        <v>251250</v>
      </c>
      <c r="G34" s="62" t="n">
        <f aca="false">前提条件!$C$65*D34*E34</f>
        <v>2880</v>
      </c>
      <c r="H34" s="62" t="n">
        <f aca="false">(前提条件!$C$66+前提条件!$C$67)*D34</f>
        <v>6300</v>
      </c>
      <c r="I34" s="62" t="n">
        <f aca="false">前提条件!$C$74/12</f>
        <v>7500</v>
      </c>
      <c r="J34" s="63" t="n">
        <f aca="false">F34+G34-H34-I34</f>
        <v>240330</v>
      </c>
      <c r="K34" s="63" t="n">
        <f aca="false">K33+J34</f>
        <v>6571520</v>
      </c>
      <c r="L34" s="63" t="n">
        <f aca="false">MAX(前提条件!$C$8-K34,0)</f>
        <v>0</v>
      </c>
      <c r="M34" s="62" t="n">
        <f aca="false">前提条件!$C$10</f>
        <v>37500</v>
      </c>
      <c r="N34" s="63" t="n">
        <f aca="false">J34-M34</f>
        <v>202830</v>
      </c>
      <c r="O34" s="63" t="n">
        <f aca="false">O33+N34</f>
        <v>5559020</v>
      </c>
      <c r="P34" s="63" t="n">
        <f aca="false">前提条件!$C$8-SUM(M$8:M34)</f>
        <v>3487500</v>
      </c>
      <c r="Q34" s="64" t="str">
        <f aca="false">IF(AND(K34&gt;=前提条件!$C$8,K33&lt;前提条件!$C$8),"◀投資回収","")</f>
        <v/>
      </c>
    </row>
    <row r="35" customFormat="false" ht="15" hidden="false" customHeight="false" outlineLevel="0" collapsed="false">
      <c r="A35" s="57" t="n">
        <v>28</v>
      </c>
      <c r="B35" s="58" t="n">
        <f aca="false">EDATE(前提条件!$C$11,A35-1)</f>
        <v>47239</v>
      </c>
      <c r="C35" s="59" t="n">
        <f aca="false">YEAR(B35)+IF(MONTH(B35)&gt;=7,1,0)-2027+48</f>
        <v>50</v>
      </c>
      <c r="D35" s="60" t="n">
        <f aca="false">前提条件!$C$26/365*DAY(EOMONTH(B35,0))</f>
        <v>31</v>
      </c>
      <c r="E35" s="61" t="n">
        <v>1</v>
      </c>
      <c r="F35" s="62" t="n">
        <f aca="false">前提条件!$C$64*D35*E35</f>
        <v>259625</v>
      </c>
      <c r="G35" s="62" t="n">
        <f aca="false">前提条件!$C$65*D35*E35</f>
        <v>2976</v>
      </c>
      <c r="H35" s="62" t="n">
        <f aca="false">(前提条件!$C$66+前提条件!$C$67)*D35</f>
        <v>6510</v>
      </c>
      <c r="I35" s="62" t="n">
        <f aca="false">前提条件!$C$74/12</f>
        <v>7500</v>
      </c>
      <c r="J35" s="63" t="n">
        <f aca="false">F35+G35-H35-I35</f>
        <v>248591</v>
      </c>
      <c r="K35" s="63" t="n">
        <f aca="false">K34+J35</f>
        <v>6820111</v>
      </c>
      <c r="L35" s="63" t="n">
        <f aca="false">MAX(前提条件!$C$8-K35,0)</f>
        <v>0</v>
      </c>
      <c r="M35" s="62" t="n">
        <f aca="false">前提条件!$C$10</f>
        <v>37500</v>
      </c>
      <c r="N35" s="63" t="n">
        <f aca="false">J35-M35</f>
        <v>211091</v>
      </c>
      <c r="O35" s="63" t="n">
        <f aca="false">O34+N35</f>
        <v>5770111</v>
      </c>
      <c r="P35" s="63" t="n">
        <f aca="false">前提条件!$C$8-SUM(M$8:M35)</f>
        <v>3450000</v>
      </c>
      <c r="Q35" s="64" t="str">
        <f aca="false">IF(AND(K35&gt;=前提条件!$C$8,K34&lt;前提条件!$C$8),"◀投資回収","")</f>
        <v/>
      </c>
    </row>
    <row r="36" customFormat="false" ht="15" hidden="false" customHeight="false" outlineLevel="0" collapsed="false">
      <c r="A36" s="57" t="n">
        <v>29</v>
      </c>
      <c r="B36" s="58" t="n">
        <f aca="false">EDATE(前提条件!$C$11,A36-1)</f>
        <v>47270</v>
      </c>
      <c r="C36" s="59" t="n">
        <f aca="false">YEAR(B36)+IF(MONTH(B36)&gt;=7,1,0)-2027+48</f>
        <v>50</v>
      </c>
      <c r="D36" s="60" t="n">
        <f aca="false">前提条件!$C$26/365*DAY(EOMONTH(B36,0))</f>
        <v>30</v>
      </c>
      <c r="E36" s="61" t="n">
        <v>1</v>
      </c>
      <c r="F36" s="62" t="n">
        <f aca="false">前提条件!$C$64*D36*E36</f>
        <v>251250</v>
      </c>
      <c r="G36" s="62" t="n">
        <f aca="false">前提条件!$C$65*D36*E36</f>
        <v>2880</v>
      </c>
      <c r="H36" s="62" t="n">
        <f aca="false">(前提条件!$C$66+前提条件!$C$67)*D36</f>
        <v>6300</v>
      </c>
      <c r="I36" s="62" t="n">
        <f aca="false">前提条件!$C$74/12</f>
        <v>7500</v>
      </c>
      <c r="J36" s="63" t="n">
        <f aca="false">F36+G36-H36-I36</f>
        <v>240330</v>
      </c>
      <c r="K36" s="63" t="n">
        <f aca="false">K35+J36</f>
        <v>7060441</v>
      </c>
      <c r="L36" s="63" t="n">
        <f aca="false">MAX(前提条件!$C$8-K36,0)</f>
        <v>0</v>
      </c>
      <c r="M36" s="62" t="n">
        <f aca="false">前提条件!$C$10</f>
        <v>37500</v>
      </c>
      <c r="N36" s="63" t="n">
        <f aca="false">J36-M36</f>
        <v>202830</v>
      </c>
      <c r="O36" s="63" t="n">
        <f aca="false">O35+N36</f>
        <v>5972941</v>
      </c>
      <c r="P36" s="63" t="n">
        <f aca="false">前提条件!$C$8-SUM(M$8:M36)</f>
        <v>3412500</v>
      </c>
      <c r="Q36" s="64" t="str">
        <f aca="false">IF(AND(K36&gt;=前提条件!$C$8,K35&lt;前提条件!$C$8),"◀投資回収","")</f>
        <v/>
      </c>
    </row>
    <row r="37" customFormat="false" ht="15" hidden="false" customHeight="false" outlineLevel="0" collapsed="false">
      <c r="A37" s="57" t="n">
        <v>30</v>
      </c>
      <c r="B37" s="58" t="n">
        <f aca="false">EDATE(前提条件!$C$11,A37-1)</f>
        <v>47300</v>
      </c>
      <c r="C37" s="59" t="n">
        <f aca="false">YEAR(B37)+IF(MONTH(B37)&gt;=7,1,0)-2027+48</f>
        <v>51</v>
      </c>
      <c r="D37" s="60" t="n">
        <f aca="false">前提条件!$C$26/365*DAY(EOMONTH(B37,0))</f>
        <v>31</v>
      </c>
      <c r="E37" s="61" t="n">
        <v>1</v>
      </c>
      <c r="F37" s="62" t="n">
        <f aca="false">前提条件!$C$64*D37*E37</f>
        <v>259625</v>
      </c>
      <c r="G37" s="62" t="n">
        <f aca="false">前提条件!$C$65*D37*E37</f>
        <v>2976</v>
      </c>
      <c r="H37" s="62" t="n">
        <f aca="false">(前提条件!$C$66+前提条件!$C$67)*D37</f>
        <v>6510</v>
      </c>
      <c r="I37" s="62" t="n">
        <f aca="false">前提条件!$C$74/12</f>
        <v>7500</v>
      </c>
      <c r="J37" s="63" t="n">
        <f aca="false">F37+G37-H37-I37</f>
        <v>248591</v>
      </c>
      <c r="K37" s="63" t="n">
        <f aca="false">K36+J37</f>
        <v>7309032</v>
      </c>
      <c r="L37" s="63" t="n">
        <f aca="false">MAX(前提条件!$C$8-K37,0)</f>
        <v>0</v>
      </c>
      <c r="M37" s="62" t="n">
        <f aca="false">前提条件!$C$10</f>
        <v>37500</v>
      </c>
      <c r="N37" s="63" t="n">
        <f aca="false">J37-M37</f>
        <v>211091</v>
      </c>
      <c r="O37" s="63" t="n">
        <f aca="false">O36+N37</f>
        <v>6184032</v>
      </c>
      <c r="P37" s="63" t="n">
        <f aca="false">前提条件!$C$8-SUM(M$8:M37)</f>
        <v>3375000</v>
      </c>
      <c r="Q37" s="64" t="str">
        <f aca="false">IF(AND(K37&gt;=前提条件!$C$8,K36&lt;前提条件!$C$8),"◀投資回収","")</f>
        <v/>
      </c>
    </row>
    <row r="38" customFormat="false" ht="15" hidden="false" customHeight="false" outlineLevel="0" collapsed="false">
      <c r="A38" s="57" t="n">
        <v>31</v>
      </c>
      <c r="B38" s="58" t="n">
        <f aca="false">EDATE(前提条件!$C$11,A38-1)</f>
        <v>47331</v>
      </c>
      <c r="C38" s="59" t="n">
        <f aca="false">YEAR(B38)+IF(MONTH(B38)&gt;=7,1,0)-2027+48</f>
        <v>51</v>
      </c>
      <c r="D38" s="60" t="n">
        <f aca="false">前提条件!$C$26/365*DAY(EOMONTH(B38,0))</f>
        <v>31</v>
      </c>
      <c r="E38" s="61" t="n">
        <v>1</v>
      </c>
      <c r="F38" s="62" t="n">
        <f aca="false">前提条件!$C$64*D38*E38</f>
        <v>259625</v>
      </c>
      <c r="G38" s="62" t="n">
        <f aca="false">前提条件!$C$65*D38*E38</f>
        <v>2976</v>
      </c>
      <c r="H38" s="62" t="n">
        <f aca="false">(前提条件!$C$66+前提条件!$C$67)*D38</f>
        <v>6510</v>
      </c>
      <c r="I38" s="62" t="n">
        <f aca="false">前提条件!$C$74/12</f>
        <v>7500</v>
      </c>
      <c r="J38" s="63" t="n">
        <f aca="false">F38+G38-H38-I38</f>
        <v>248591</v>
      </c>
      <c r="K38" s="63" t="n">
        <f aca="false">K37+J38</f>
        <v>7557623</v>
      </c>
      <c r="L38" s="63" t="n">
        <f aca="false">MAX(前提条件!$C$8-K38,0)</f>
        <v>0</v>
      </c>
      <c r="M38" s="62" t="n">
        <f aca="false">前提条件!$C$10</f>
        <v>37500</v>
      </c>
      <c r="N38" s="63" t="n">
        <f aca="false">J38-M38</f>
        <v>211091</v>
      </c>
      <c r="O38" s="63" t="n">
        <f aca="false">O37+N38</f>
        <v>6395123</v>
      </c>
      <c r="P38" s="63" t="n">
        <f aca="false">前提条件!$C$8-SUM(M$8:M38)</f>
        <v>3337500</v>
      </c>
      <c r="Q38" s="64" t="str">
        <f aca="false">IF(AND(K38&gt;=前提条件!$C$8,K37&lt;前提条件!$C$8),"◀投資回収","")</f>
        <v/>
      </c>
    </row>
    <row r="39" customFormat="false" ht="15" hidden="false" customHeight="false" outlineLevel="0" collapsed="false">
      <c r="A39" s="57" t="n">
        <v>32</v>
      </c>
      <c r="B39" s="58" t="n">
        <f aca="false">EDATE(前提条件!$C$11,A39-1)</f>
        <v>47362</v>
      </c>
      <c r="C39" s="59" t="n">
        <f aca="false">YEAR(B39)+IF(MONTH(B39)&gt;=7,1,0)-2027+48</f>
        <v>51</v>
      </c>
      <c r="D39" s="60" t="n">
        <f aca="false">前提条件!$C$26/365*DAY(EOMONTH(B39,0))</f>
        <v>30</v>
      </c>
      <c r="E39" s="61" t="n">
        <v>1</v>
      </c>
      <c r="F39" s="62" t="n">
        <f aca="false">前提条件!$C$64*D39*E39</f>
        <v>251250</v>
      </c>
      <c r="G39" s="62" t="n">
        <f aca="false">前提条件!$C$65*D39*E39</f>
        <v>2880</v>
      </c>
      <c r="H39" s="62" t="n">
        <f aca="false">(前提条件!$C$66+前提条件!$C$67)*D39</f>
        <v>6300</v>
      </c>
      <c r="I39" s="62" t="n">
        <f aca="false">前提条件!$C$74/12</f>
        <v>7500</v>
      </c>
      <c r="J39" s="63" t="n">
        <f aca="false">F39+G39-H39-I39</f>
        <v>240330</v>
      </c>
      <c r="K39" s="63" t="n">
        <f aca="false">K38+J39</f>
        <v>7797953</v>
      </c>
      <c r="L39" s="63" t="n">
        <f aca="false">MAX(前提条件!$C$8-K39,0)</f>
        <v>0</v>
      </c>
      <c r="M39" s="62" t="n">
        <f aca="false">前提条件!$C$10</f>
        <v>37500</v>
      </c>
      <c r="N39" s="63" t="n">
        <f aca="false">J39-M39</f>
        <v>202830</v>
      </c>
      <c r="O39" s="63" t="n">
        <f aca="false">O38+N39</f>
        <v>6597953</v>
      </c>
      <c r="P39" s="63" t="n">
        <f aca="false">前提条件!$C$8-SUM(M$8:M39)</f>
        <v>3300000</v>
      </c>
      <c r="Q39" s="64" t="str">
        <f aca="false">IF(AND(K39&gt;=前提条件!$C$8,K38&lt;前提条件!$C$8),"◀投資回収","")</f>
        <v/>
      </c>
    </row>
    <row r="40" customFormat="false" ht="15" hidden="false" customHeight="false" outlineLevel="0" collapsed="false">
      <c r="A40" s="57" t="n">
        <v>33</v>
      </c>
      <c r="B40" s="58" t="n">
        <f aca="false">EDATE(前提条件!$C$11,A40-1)</f>
        <v>47392</v>
      </c>
      <c r="C40" s="59" t="n">
        <f aca="false">YEAR(B40)+IF(MONTH(B40)&gt;=7,1,0)-2027+48</f>
        <v>51</v>
      </c>
      <c r="D40" s="60" t="n">
        <f aca="false">前提条件!$C$26/365*DAY(EOMONTH(B40,0))</f>
        <v>31</v>
      </c>
      <c r="E40" s="61" t="n">
        <v>1</v>
      </c>
      <c r="F40" s="62" t="n">
        <f aca="false">前提条件!$C$64*D40*E40</f>
        <v>259625</v>
      </c>
      <c r="G40" s="62" t="n">
        <f aca="false">前提条件!$C$65*D40*E40</f>
        <v>2976</v>
      </c>
      <c r="H40" s="62" t="n">
        <f aca="false">(前提条件!$C$66+前提条件!$C$67)*D40</f>
        <v>6510</v>
      </c>
      <c r="I40" s="62" t="n">
        <f aca="false">前提条件!$C$74/12</f>
        <v>7500</v>
      </c>
      <c r="J40" s="63" t="n">
        <f aca="false">F40+G40-H40-I40</f>
        <v>248591</v>
      </c>
      <c r="K40" s="63" t="n">
        <f aca="false">K39+J40</f>
        <v>8046544</v>
      </c>
      <c r="L40" s="63" t="n">
        <f aca="false">MAX(前提条件!$C$8-K40,0)</f>
        <v>0</v>
      </c>
      <c r="M40" s="62" t="n">
        <f aca="false">前提条件!$C$10</f>
        <v>37500</v>
      </c>
      <c r="N40" s="63" t="n">
        <f aca="false">J40-M40</f>
        <v>211091</v>
      </c>
      <c r="O40" s="63" t="n">
        <f aca="false">O39+N40</f>
        <v>6809044</v>
      </c>
      <c r="P40" s="63" t="n">
        <f aca="false">前提条件!$C$8-SUM(M$8:M40)</f>
        <v>3262500</v>
      </c>
      <c r="Q40" s="64" t="str">
        <f aca="false">IF(AND(K40&gt;=前提条件!$C$8,K39&lt;前提条件!$C$8),"◀投資回収","")</f>
        <v/>
      </c>
    </row>
    <row r="41" customFormat="false" ht="15" hidden="false" customHeight="false" outlineLevel="0" collapsed="false">
      <c r="A41" s="57" t="n">
        <v>34</v>
      </c>
      <c r="B41" s="58" t="n">
        <f aca="false">EDATE(前提条件!$C$11,A41-1)</f>
        <v>47423</v>
      </c>
      <c r="C41" s="59" t="n">
        <f aca="false">YEAR(B41)+IF(MONTH(B41)&gt;=7,1,0)-2027+48</f>
        <v>51</v>
      </c>
      <c r="D41" s="60" t="n">
        <f aca="false">前提条件!$C$26/365*DAY(EOMONTH(B41,0))</f>
        <v>30</v>
      </c>
      <c r="E41" s="61" t="n">
        <v>1</v>
      </c>
      <c r="F41" s="62" t="n">
        <f aca="false">前提条件!$C$64*D41*E41</f>
        <v>251250</v>
      </c>
      <c r="G41" s="62" t="n">
        <f aca="false">前提条件!$C$65*D41*E41</f>
        <v>2880</v>
      </c>
      <c r="H41" s="62" t="n">
        <f aca="false">(前提条件!$C$66+前提条件!$C$67)*D41</f>
        <v>6300</v>
      </c>
      <c r="I41" s="62" t="n">
        <f aca="false">前提条件!$C$74/12</f>
        <v>7500</v>
      </c>
      <c r="J41" s="63" t="n">
        <f aca="false">F41+G41-H41-I41</f>
        <v>240330</v>
      </c>
      <c r="K41" s="63" t="n">
        <f aca="false">K40+J41</f>
        <v>8286874</v>
      </c>
      <c r="L41" s="63" t="n">
        <f aca="false">MAX(前提条件!$C$8-K41,0)</f>
        <v>0</v>
      </c>
      <c r="M41" s="62" t="n">
        <f aca="false">前提条件!$C$10</f>
        <v>37500</v>
      </c>
      <c r="N41" s="63" t="n">
        <f aca="false">J41-M41</f>
        <v>202830</v>
      </c>
      <c r="O41" s="63" t="n">
        <f aca="false">O40+N41</f>
        <v>7011874</v>
      </c>
      <c r="P41" s="63" t="n">
        <f aca="false">前提条件!$C$8-SUM(M$8:M41)</f>
        <v>3225000</v>
      </c>
      <c r="Q41" s="64" t="str">
        <f aca="false">IF(AND(K41&gt;=前提条件!$C$8,K40&lt;前提条件!$C$8),"◀投資回収","")</f>
        <v/>
      </c>
    </row>
    <row r="42" customFormat="false" ht="15" hidden="false" customHeight="false" outlineLevel="0" collapsed="false">
      <c r="A42" s="57" t="n">
        <v>35</v>
      </c>
      <c r="B42" s="58" t="n">
        <f aca="false">EDATE(前提条件!$C$11,A42-1)</f>
        <v>47453</v>
      </c>
      <c r="C42" s="59" t="n">
        <f aca="false">YEAR(B42)+IF(MONTH(B42)&gt;=7,1,0)-2027+48</f>
        <v>51</v>
      </c>
      <c r="D42" s="60" t="n">
        <f aca="false">前提条件!$C$26/365*DAY(EOMONTH(B42,0))</f>
        <v>31</v>
      </c>
      <c r="E42" s="61" t="n">
        <v>1</v>
      </c>
      <c r="F42" s="62" t="n">
        <f aca="false">前提条件!$C$64*D42*E42</f>
        <v>259625</v>
      </c>
      <c r="G42" s="62" t="n">
        <f aca="false">前提条件!$C$65*D42*E42</f>
        <v>2976</v>
      </c>
      <c r="H42" s="62" t="n">
        <f aca="false">(前提条件!$C$66+前提条件!$C$67)*D42</f>
        <v>6510</v>
      </c>
      <c r="I42" s="62" t="n">
        <f aca="false">前提条件!$C$74/12</f>
        <v>7500</v>
      </c>
      <c r="J42" s="63" t="n">
        <f aca="false">F42+G42-H42-I42</f>
        <v>248591</v>
      </c>
      <c r="K42" s="63" t="n">
        <f aca="false">K41+J42</f>
        <v>8535465</v>
      </c>
      <c r="L42" s="63" t="n">
        <f aca="false">MAX(前提条件!$C$8-K42,0)</f>
        <v>0</v>
      </c>
      <c r="M42" s="62" t="n">
        <f aca="false">前提条件!$C$10</f>
        <v>37500</v>
      </c>
      <c r="N42" s="63" t="n">
        <f aca="false">J42-M42</f>
        <v>211091</v>
      </c>
      <c r="O42" s="63" t="n">
        <f aca="false">O41+N42</f>
        <v>7222965</v>
      </c>
      <c r="P42" s="63" t="n">
        <f aca="false">前提条件!$C$8-SUM(M$8:M42)</f>
        <v>3187500</v>
      </c>
      <c r="Q42" s="64" t="str">
        <f aca="false">IF(AND(K42&gt;=前提条件!$C$8,K41&lt;前提条件!$C$8),"◀投資回収","")</f>
        <v/>
      </c>
    </row>
    <row r="43" customFormat="false" ht="15" hidden="false" customHeight="false" outlineLevel="0" collapsed="false">
      <c r="A43" s="57" t="n">
        <v>36</v>
      </c>
      <c r="B43" s="58" t="n">
        <f aca="false">EDATE(前提条件!$C$11,A43-1)</f>
        <v>47484</v>
      </c>
      <c r="C43" s="59" t="n">
        <f aca="false">YEAR(B43)+IF(MONTH(B43)&gt;=7,1,0)-2027+48</f>
        <v>51</v>
      </c>
      <c r="D43" s="60" t="n">
        <f aca="false">前提条件!$C$26/365*DAY(EOMONTH(B43,0))</f>
        <v>31</v>
      </c>
      <c r="E43" s="61" t="n">
        <v>1</v>
      </c>
      <c r="F43" s="62" t="n">
        <f aca="false">前提条件!$C$64*D43*E43</f>
        <v>259625</v>
      </c>
      <c r="G43" s="62" t="n">
        <f aca="false">前提条件!$C$65*D43*E43</f>
        <v>2976</v>
      </c>
      <c r="H43" s="62" t="n">
        <f aca="false">(前提条件!$C$66+前提条件!$C$67)*D43</f>
        <v>6510</v>
      </c>
      <c r="I43" s="62" t="n">
        <f aca="false">前提条件!$C$74/12</f>
        <v>7500</v>
      </c>
      <c r="J43" s="63" t="n">
        <f aca="false">F43+G43-H43-I43</f>
        <v>248591</v>
      </c>
      <c r="K43" s="63" t="n">
        <f aca="false">K42+J43</f>
        <v>8784056</v>
      </c>
      <c r="L43" s="63" t="n">
        <f aca="false">MAX(前提条件!$C$8-K43,0)</f>
        <v>0</v>
      </c>
      <c r="M43" s="62" t="n">
        <f aca="false">前提条件!$C$10</f>
        <v>37500</v>
      </c>
      <c r="N43" s="63" t="n">
        <f aca="false">J43-M43</f>
        <v>211091</v>
      </c>
      <c r="O43" s="63" t="n">
        <f aca="false">O42+N43</f>
        <v>7434056</v>
      </c>
      <c r="P43" s="63" t="n">
        <f aca="false">前提条件!$C$8-SUM(M$8:M43)</f>
        <v>3150000</v>
      </c>
      <c r="Q43" s="64" t="str">
        <f aca="false">IF(AND(K43&gt;=前提条件!$C$8,K42&lt;前提条件!$C$8),"◀投資回収","")</f>
        <v/>
      </c>
    </row>
    <row r="44" customFormat="false" ht="15" hidden="false" customHeight="false" outlineLevel="0" collapsed="false">
      <c r="A44" s="57" t="n">
        <v>37</v>
      </c>
      <c r="B44" s="58" t="n">
        <f aca="false">EDATE(前提条件!$C$11,A44-1)</f>
        <v>47515</v>
      </c>
      <c r="C44" s="59" t="n">
        <f aca="false">YEAR(B44)+IF(MONTH(B44)&gt;=7,1,0)-2027+48</f>
        <v>51</v>
      </c>
      <c r="D44" s="60" t="n">
        <f aca="false">前提条件!$C$26/365*DAY(EOMONTH(B44,0))</f>
        <v>28</v>
      </c>
      <c r="E44" s="61" t="n">
        <v>1</v>
      </c>
      <c r="F44" s="62" t="n">
        <f aca="false">前提条件!$C$64*D44*E44</f>
        <v>234500</v>
      </c>
      <c r="G44" s="62" t="n">
        <f aca="false">前提条件!$C$65*D44*E44</f>
        <v>2688</v>
      </c>
      <c r="H44" s="62" t="n">
        <f aca="false">(前提条件!$C$66+前提条件!$C$67)*D44</f>
        <v>5880</v>
      </c>
      <c r="I44" s="62" t="n">
        <f aca="false">前提条件!$C$74/12</f>
        <v>7500</v>
      </c>
      <c r="J44" s="63" t="n">
        <f aca="false">F44+G44-H44-I44</f>
        <v>223808</v>
      </c>
      <c r="K44" s="63" t="n">
        <f aca="false">K43+J44</f>
        <v>9007864</v>
      </c>
      <c r="L44" s="63" t="n">
        <f aca="false">MAX(前提条件!$C$8-K44,0)</f>
        <v>0</v>
      </c>
      <c r="M44" s="62" t="n">
        <f aca="false">前提条件!$C$10</f>
        <v>37500</v>
      </c>
      <c r="N44" s="63" t="n">
        <f aca="false">J44-M44</f>
        <v>186308</v>
      </c>
      <c r="O44" s="63" t="n">
        <f aca="false">O43+N44</f>
        <v>7620364</v>
      </c>
      <c r="P44" s="63" t="n">
        <f aca="false">前提条件!$C$8-SUM(M$8:M44)</f>
        <v>3112500</v>
      </c>
      <c r="Q44" s="64" t="str">
        <f aca="false">IF(AND(K44&gt;=前提条件!$C$8,K43&lt;前提条件!$C$8),"◀投資回収","")</f>
        <v/>
      </c>
    </row>
    <row r="45" customFormat="false" ht="15" hidden="false" customHeight="false" outlineLevel="0" collapsed="false">
      <c r="A45" s="57" t="n">
        <v>38</v>
      </c>
      <c r="B45" s="58" t="n">
        <f aca="false">EDATE(前提条件!$C$11,A45-1)</f>
        <v>47543</v>
      </c>
      <c r="C45" s="59" t="n">
        <f aca="false">YEAR(B45)+IF(MONTH(B45)&gt;=7,1,0)-2027+48</f>
        <v>51</v>
      </c>
      <c r="D45" s="60" t="n">
        <f aca="false">前提条件!$C$26/365*DAY(EOMONTH(B45,0))</f>
        <v>31</v>
      </c>
      <c r="E45" s="61" t="n">
        <v>1</v>
      </c>
      <c r="F45" s="62" t="n">
        <f aca="false">前提条件!$C$64*D45*E45</f>
        <v>259625</v>
      </c>
      <c r="G45" s="62" t="n">
        <f aca="false">前提条件!$C$65*D45*E45</f>
        <v>2976</v>
      </c>
      <c r="H45" s="62" t="n">
        <f aca="false">(前提条件!$C$66+前提条件!$C$67)*D45</f>
        <v>6510</v>
      </c>
      <c r="I45" s="62" t="n">
        <f aca="false">前提条件!$C$74/12</f>
        <v>7500</v>
      </c>
      <c r="J45" s="63" t="n">
        <f aca="false">F45+G45-H45-I45</f>
        <v>248591</v>
      </c>
      <c r="K45" s="63" t="n">
        <f aca="false">K44+J45</f>
        <v>9256455</v>
      </c>
      <c r="L45" s="63" t="n">
        <f aca="false">MAX(前提条件!$C$8-K45,0)</f>
        <v>0</v>
      </c>
      <c r="M45" s="62" t="n">
        <f aca="false">前提条件!$C$10</f>
        <v>37500</v>
      </c>
      <c r="N45" s="63" t="n">
        <f aca="false">J45-M45</f>
        <v>211091</v>
      </c>
      <c r="O45" s="63" t="n">
        <f aca="false">O44+N45</f>
        <v>7831455</v>
      </c>
      <c r="P45" s="63" t="n">
        <f aca="false">前提条件!$C$8-SUM(M$8:M45)</f>
        <v>3075000</v>
      </c>
      <c r="Q45" s="64" t="str">
        <f aca="false">IF(AND(K45&gt;=前提条件!$C$8,K44&lt;前提条件!$C$8),"◀投資回収","")</f>
        <v/>
      </c>
    </row>
    <row r="46" customFormat="false" ht="15" hidden="false" customHeight="false" outlineLevel="0" collapsed="false">
      <c r="A46" s="57" t="n">
        <v>39</v>
      </c>
      <c r="B46" s="58" t="n">
        <f aca="false">EDATE(前提条件!$C$11,A46-1)</f>
        <v>47574</v>
      </c>
      <c r="C46" s="59" t="n">
        <f aca="false">YEAR(B46)+IF(MONTH(B46)&gt;=7,1,0)-2027+48</f>
        <v>51</v>
      </c>
      <c r="D46" s="60" t="n">
        <f aca="false">前提条件!$C$26/365*DAY(EOMONTH(B46,0))</f>
        <v>30</v>
      </c>
      <c r="E46" s="61" t="n">
        <v>1</v>
      </c>
      <c r="F46" s="62" t="n">
        <f aca="false">前提条件!$C$64*D46*E46</f>
        <v>251250</v>
      </c>
      <c r="G46" s="62" t="n">
        <f aca="false">前提条件!$C$65*D46*E46</f>
        <v>2880</v>
      </c>
      <c r="H46" s="62" t="n">
        <f aca="false">(前提条件!$C$66+前提条件!$C$67)*D46</f>
        <v>6300</v>
      </c>
      <c r="I46" s="62" t="n">
        <f aca="false">前提条件!$C$74/12</f>
        <v>7500</v>
      </c>
      <c r="J46" s="63" t="n">
        <f aca="false">F46+G46-H46-I46</f>
        <v>240330</v>
      </c>
      <c r="K46" s="63" t="n">
        <f aca="false">K45+J46</f>
        <v>9496785</v>
      </c>
      <c r="L46" s="63" t="n">
        <f aca="false">MAX(前提条件!$C$8-K46,0)</f>
        <v>0</v>
      </c>
      <c r="M46" s="62" t="n">
        <f aca="false">前提条件!$C$10</f>
        <v>37500</v>
      </c>
      <c r="N46" s="63" t="n">
        <f aca="false">J46-M46</f>
        <v>202830</v>
      </c>
      <c r="O46" s="63" t="n">
        <f aca="false">O45+N46</f>
        <v>8034285</v>
      </c>
      <c r="P46" s="63" t="n">
        <f aca="false">前提条件!$C$8-SUM(M$8:M46)</f>
        <v>3037500</v>
      </c>
      <c r="Q46" s="64" t="str">
        <f aca="false">IF(AND(K46&gt;=前提条件!$C$8,K45&lt;前提条件!$C$8),"◀投資回収","")</f>
        <v/>
      </c>
    </row>
    <row r="47" customFormat="false" ht="15" hidden="false" customHeight="false" outlineLevel="0" collapsed="false">
      <c r="A47" s="57" t="n">
        <v>40</v>
      </c>
      <c r="B47" s="58" t="n">
        <f aca="false">EDATE(前提条件!$C$11,A47-1)</f>
        <v>47604</v>
      </c>
      <c r="C47" s="59" t="n">
        <f aca="false">YEAR(B47)+IF(MONTH(B47)&gt;=7,1,0)-2027+48</f>
        <v>51</v>
      </c>
      <c r="D47" s="60" t="n">
        <f aca="false">前提条件!$C$26/365*DAY(EOMONTH(B47,0))</f>
        <v>31</v>
      </c>
      <c r="E47" s="61" t="n">
        <v>1</v>
      </c>
      <c r="F47" s="62" t="n">
        <f aca="false">前提条件!$C$64*D47*E47</f>
        <v>259625</v>
      </c>
      <c r="G47" s="62" t="n">
        <f aca="false">前提条件!$C$65*D47*E47</f>
        <v>2976</v>
      </c>
      <c r="H47" s="62" t="n">
        <f aca="false">(前提条件!$C$66+前提条件!$C$67)*D47</f>
        <v>6510</v>
      </c>
      <c r="I47" s="62" t="n">
        <f aca="false">前提条件!$C$74/12</f>
        <v>7500</v>
      </c>
      <c r="J47" s="63" t="n">
        <f aca="false">F47+G47-H47-I47</f>
        <v>248591</v>
      </c>
      <c r="K47" s="63" t="n">
        <f aca="false">K46+J47</f>
        <v>9745376</v>
      </c>
      <c r="L47" s="63" t="n">
        <f aca="false">MAX(前提条件!$C$8-K47,0)</f>
        <v>0</v>
      </c>
      <c r="M47" s="62" t="n">
        <f aca="false">前提条件!$C$10</f>
        <v>37500</v>
      </c>
      <c r="N47" s="63" t="n">
        <f aca="false">J47-M47</f>
        <v>211091</v>
      </c>
      <c r="O47" s="63" t="n">
        <f aca="false">O46+N47</f>
        <v>8245376</v>
      </c>
      <c r="P47" s="63" t="n">
        <f aca="false">前提条件!$C$8-SUM(M$8:M47)</f>
        <v>3000000</v>
      </c>
      <c r="Q47" s="64" t="str">
        <f aca="false">IF(AND(K47&gt;=前提条件!$C$8,K46&lt;前提条件!$C$8),"◀投資回収","")</f>
        <v/>
      </c>
    </row>
    <row r="48" customFormat="false" ht="15" hidden="false" customHeight="false" outlineLevel="0" collapsed="false">
      <c r="A48" s="57" t="n">
        <v>41</v>
      </c>
      <c r="B48" s="58" t="n">
        <f aca="false">EDATE(前提条件!$C$11,A48-1)</f>
        <v>47635</v>
      </c>
      <c r="C48" s="59" t="n">
        <f aca="false">YEAR(B48)+IF(MONTH(B48)&gt;=7,1,0)-2027+48</f>
        <v>51</v>
      </c>
      <c r="D48" s="60" t="n">
        <f aca="false">前提条件!$C$26/365*DAY(EOMONTH(B48,0))</f>
        <v>30</v>
      </c>
      <c r="E48" s="61" t="n">
        <v>1</v>
      </c>
      <c r="F48" s="62" t="n">
        <f aca="false">前提条件!$C$64*D48*E48</f>
        <v>251250</v>
      </c>
      <c r="G48" s="62" t="n">
        <f aca="false">前提条件!$C$65*D48*E48</f>
        <v>2880</v>
      </c>
      <c r="H48" s="62" t="n">
        <f aca="false">(前提条件!$C$66+前提条件!$C$67)*D48</f>
        <v>6300</v>
      </c>
      <c r="I48" s="62" t="n">
        <f aca="false">前提条件!$C$74/12</f>
        <v>7500</v>
      </c>
      <c r="J48" s="63" t="n">
        <f aca="false">F48+G48-H48-I48</f>
        <v>240330</v>
      </c>
      <c r="K48" s="63" t="n">
        <f aca="false">K47+J48</f>
        <v>9985706</v>
      </c>
      <c r="L48" s="63" t="n">
        <f aca="false">MAX(前提条件!$C$8-K48,0)</f>
        <v>0</v>
      </c>
      <c r="M48" s="62" t="n">
        <f aca="false">前提条件!$C$10</f>
        <v>37500</v>
      </c>
      <c r="N48" s="63" t="n">
        <f aca="false">J48-M48</f>
        <v>202830</v>
      </c>
      <c r="O48" s="63" t="n">
        <f aca="false">O47+N48</f>
        <v>8448206</v>
      </c>
      <c r="P48" s="63" t="n">
        <f aca="false">前提条件!$C$8-SUM(M$8:M48)</f>
        <v>2962500</v>
      </c>
      <c r="Q48" s="64" t="str">
        <f aca="false">IF(AND(K48&gt;=前提条件!$C$8,K47&lt;前提条件!$C$8),"◀投資回収","")</f>
        <v/>
      </c>
    </row>
    <row r="49" customFormat="false" ht="15" hidden="false" customHeight="false" outlineLevel="0" collapsed="false">
      <c r="A49" s="57" t="n">
        <v>42</v>
      </c>
      <c r="B49" s="58" t="n">
        <f aca="false">EDATE(前提条件!$C$11,A49-1)</f>
        <v>47665</v>
      </c>
      <c r="C49" s="59" t="n">
        <f aca="false">YEAR(B49)+IF(MONTH(B49)&gt;=7,1,0)-2027+48</f>
        <v>52</v>
      </c>
      <c r="D49" s="60" t="n">
        <f aca="false">前提条件!$C$26/365*DAY(EOMONTH(B49,0))</f>
        <v>31</v>
      </c>
      <c r="E49" s="61" t="n">
        <v>1</v>
      </c>
      <c r="F49" s="62" t="n">
        <f aca="false">前提条件!$C$64*D49*E49</f>
        <v>259625</v>
      </c>
      <c r="G49" s="62" t="n">
        <f aca="false">前提条件!$C$65*D49*E49</f>
        <v>2976</v>
      </c>
      <c r="H49" s="62" t="n">
        <f aca="false">(前提条件!$C$66+前提条件!$C$67)*D49</f>
        <v>6510</v>
      </c>
      <c r="I49" s="62" t="n">
        <f aca="false">前提条件!$C$74/12</f>
        <v>7500</v>
      </c>
      <c r="J49" s="63" t="n">
        <f aca="false">F49+G49-H49-I49</f>
        <v>248591</v>
      </c>
      <c r="K49" s="63" t="n">
        <f aca="false">K48+J49</f>
        <v>10234297</v>
      </c>
      <c r="L49" s="63" t="n">
        <f aca="false">MAX(前提条件!$C$8-K49,0)</f>
        <v>0</v>
      </c>
      <c r="M49" s="62" t="n">
        <f aca="false">前提条件!$C$10</f>
        <v>37500</v>
      </c>
      <c r="N49" s="63" t="n">
        <f aca="false">J49-M49</f>
        <v>211091</v>
      </c>
      <c r="O49" s="63" t="n">
        <f aca="false">O48+N49</f>
        <v>8659297</v>
      </c>
      <c r="P49" s="63" t="n">
        <f aca="false">前提条件!$C$8-SUM(M$8:M49)</f>
        <v>2925000</v>
      </c>
      <c r="Q49" s="64" t="str">
        <f aca="false">IF(AND(K49&gt;=前提条件!$C$8,K48&lt;前提条件!$C$8),"◀投資回収","")</f>
        <v/>
      </c>
    </row>
    <row r="50" customFormat="false" ht="15" hidden="false" customHeight="false" outlineLevel="0" collapsed="false">
      <c r="A50" s="57" t="n">
        <v>43</v>
      </c>
      <c r="B50" s="58" t="n">
        <f aca="false">EDATE(前提条件!$C$11,A50-1)</f>
        <v>47696</v>
      </c>
      <c r="C50" s="59" t="n">
        <f aca="false">YEAR(B50)+IF(MONTH(B50)&gt;=7,1,0)-2027+48</f>
        <v>52</v>
      </c>
      <c r="D50" s="60" t="n">
        <f aca="false">前提条件!$C$26/365*DAY(EOMONTH(B50,0))</f>
        <v>31</v>
      </c>
      <c r="E50" s="61" t="n">
        <v>1</v>
      </c>
      <c r="F50" s="62" t="n">
        <f aca="false">前提条件!$C$64*D50*E50</f>
        <v>259625</v>
      </c>
      <c r="G50" s="62" t="n">
        <f aca="false">前提条件!$C$65*D50*E50</f>
        <v>2976</v>
      </c>
      <c r="H50" s="62" t="n">
        <f aca="false">(前提条件!$C$66+前提条件!$C$67)*D50</f>
        <v>6510</v>
      </c>
      <c r="I50" s="62" t="n">
        <f aca="false">前提条件!$C$74/12</f>
        <v>7500</v>
      </c>
      <c r="J50" s="63" t="n">
        <f aca="false">F50+G50-H50-I50</f>
        <v>248591</v>
      </c>
      <c r="K50" s="63" t="n">
        <f aca="false">K49+J50</f>
        <v>10482888</v>
      </c>
      <c r="L50" s="63" t="n">
        <f aca="false">MAX(前提条件!$C$8-K50,0)</f>
        <v>0</v>
      </c>
      <c r="M50" s="62" t="n">
        <f aca="false">前提条件!$C$10</f>
        <v>37500</v>
      </c>
      <c r="N50" s="63" t="n">
        <f aca="false">J50-M50</f>
        <v>211091</v>
      </c>
      <c r="O50" s="63" t="n">
        <f aca="false">O49+N50</f>
        <v>8870388</v>
      </c>
      <c r="P50" s="63" t="n">
        <f aca="false">前提条件!$C$8-SUM(M$8:M50)</f>
        <v>2887500</v>
      </c>
      <c r="Q50" s="64" t="str">
        <f aca="false">IF(AND(K50&gt;=前提条件!$C$8,K49&lt;前提条件!$C$8),"◀投資回収","")</f>
        <v/>
      </c>
    </row>
    <row r="51" customFormat="false" ht="15" hidden="false" customHeight="false" outlineLevel="0" collapsed="false">
      <c r="A51" s="57" t="n">
        <v>44</v>
      </c>
      <c r="B51" s="58" t="n">
        <f aca="false">EDATE(前提条件!$C$11,A51-1)</f>
        <v>47727</v>
      </c>
      <c r="C51" s="59" t="n">
        <f aca="false">YEAR(B51)+IF(MONTH(B51)&gt;=7,1,0)-2027+48</f>
        <v>52</v>
      </c>
      <c r="D51" s="60" t="n">
        <f aca="false">前提条件!$C$26/365*DAY(EOMONTH(B51,0))</f>
        <v>30</v>
      </c>
      <c r="E51" s="61" t="n">
        <v>1</v>
      </c>
      <c r="F51" s="62" t="n">
        <f aca="false">前提条件!$C$64*D51*E51</f>
        <v>251250</v>
      </c>
      <c r="G51" s="62" t="n">
        <f aca="false">前提条件!$C$65*D51*E51</f>
        <v>2880</v>
      </c>
      <c r="H51" s="62" t="n">
        <f aca="false">(前提条件!$C$66+前提条件!$C$67)*D51</f>
        <v>6300</v>
      </c>
      <c r="I51" s="62" t="n">
        <f aca="false">前提条件!$C$74/12</f>
        <v>7500</v>
      </c>
      <c r="J51" s="63" t="n">
        <f aca="false">F51+G51-H51-I51</f>
        <v>240330</v>
      </c>
      <c r="K51" s="63" t="n">
        <f aca="false">K50+J51</f>
        <v>10723218</v>
      </c>
      <c r="L51" s="63" t="n">
        <f aca="false">MAX(前提条件!$C$8-K51,0)</f>
        <v>0</v>
      </c>
      <c r="M51" s="62" t="n">
        <f aca="false">前提条件!$C$10</f>
        <v>37500</v>
      </c>
      <c r="N51" s="63" t="n">
        <f aca="false">J51-M51</f>
        <v>202830</v>
      </c>
      <c r="O51" s="63" t="n">
        <f aca="false">O50+N51</f>
        <v>9073218</v>
      </c>
      <c r="P51" s="63" t="n">
        <f aca="false">前提条件!$C$8-SUM(M$8:M51)</f>
        <v>2850000</v>
      </c>
      <c r="Q51" s="64" t="str">
        <f aca="false">IF(AND(K51&gt;=前提条件!$C$8,K50&lt;前提条件!$C$8),"◀投資回収","")</f>
        <v/>
      </c>
    </row>
    <row r="52" customFormat="false" ht="15" hidden="false" customHeight="false" outlineLevel="0" collapsed="false">
      <c r="A52" s="57" t="n">
        <v>45</v>
      </c>
      <c r="B52" s="58" t="n">
        <f aca="false">EDATE(前提条件!$C$11,A52-1)</f>
        <v>47757</v>
      </c>
      <c r="C52" s="59" t="n">
        <f aca="false">YEAR(B52)+IF(MONTH(B52)&gt;=7,1,0)-2027+48</f>
        <v>52</v>
      </c>
      <c r="D52" s="60" t="n">
        <f aca="false">前提条件!$C$26/365*DAY(EOMONTH(B52,0))</f>
        <v>31</v>
      </c>
      <c r="E52" s="61" t="n">
        <v>1</v>
      </c>
      <c r="F52" s="62" t="n">
        <f aca="false">前提条件!$C$64*D52*E52</f>
        <v>259625</v>
      </c>
      <c r="G52" s="62" t="n">
        <f aca="false">前提条件!$C$65*D52*E52</f>
        <v>2976</v>
      </c>
      <c r="H52" s="62" t="n">
        <f aca="false">(前提条件!$C$66+前提条件!$C$67)*D52</f>
        <v>6510</v>
      </c>
      <c r="I52" s="62" t="n">
        <f aca="false">前提条件!$C$74/12</f>
        <v>7500</v>
      </c>
      <c r="J52" s="63" t="n">
        <f aca="false">F52+G52-H52-I52</f>
        <v>248591</v>
      </c>
      <c r="K52" s="63" t="n">
        <f aca="false">K51+J52</f>
        <v>10971809</v>
      </c>
      <c r="L52" s="63" t="n">
        <f aca="false">MAX(前提条件!$C$8-K52,0)</f>
        <v>0</v>
      </c>
      <c r="M52" s="62" t="n">
        <f aca="false">前提条件!$C$10</f>
        <v>37500</v>
      </c>
      <c r="N52" s="63" t="n">
        <f aca="false">J52-M52</f>
        <v>211091</v>
      </c>
      <c r="O52" s="63" t="n">
        <f aca="false">O51+N52</f>
        <v>9284309</v>
      </c>
      <c r="P52" s="63" t="n">
        <f aca="false">前提条件!$C$8-SUM(M$8:M52)</f>
        <v>2812500</v>
      </c>
      <c r="Q52" s="64" t="str">
        <f aca="false">IF(AND(K52&gt;=前提条件!$C$8,K51&lt;前提条件!$C$8),"◀投資回収","")</f>
        <v/>
      </c>
    </row>
    <row r="53" customFormat="false" ht="15" hidden="false" customHeight="false" outlineLevel="0" collapsed="false">
      <c r="A53" s="57" t="n">
        <v>46</v>
      </c>
      <c r="B53" s="58" t="n">
        <f aca="false">EDATE(前提条件!$C$11,A53-1)</f>
        <v>47788</v>
      </c>
      <c r="C53" s="59" t="n">
        <f aca="false">YEAR(B53)+IF(MONTH(B53)&gt;=7,1,0)-2027+48</f>
        <v>52</v>
      </c>
      <c r="D53" s="60" t="n">
        <f aca="false">前提条件!$C$26/365*DAY(EOMONTH(B53,0))</f>
        <v>30</v>
      </c>
      <c r="E53" s="61" t="n">
        <v>1</v>
      </c>
      <c r="F53" s="62" t="n">
        <f aca="false">前提条件!$C$64*D53*E53</f>
        <v>251250</v>
      </c>
      <c r="G53" s="62" t="n">
        <f aca="false">前提条件!$C$65*D53*E53</f>
        <v>2880</v>
      </c>
      <c r="H53" s="62" t="n">
        <f aca="false">(前提条件!$C$66+前提条件!$C$67)*D53</f>
        <v>6300</v>
      </c>
      <c r="I53" s="62" t="n">
        <f aca="false">前提条件!$C$74/12</f>
        <v>7500</v>
      </c>
      <c r="J53" s="63" t="n">
        <f aca="false">F53+G53-H53-I53</f>
        <v>240330</v>
      </c>
      <c r="K53" s="63" t="n">
        <f aca="false">K52+J53</f>
        <v>11212139</v>
      </c>
      <c r="L53" s="63" t="n">
        <f aca="false">MAX(前提条件!$C$8-K53,0)</f>
        <v>0</v>
      </c>
      <c r="M53" s="62" t="n">
        <f aca="false">前提条件!$C$10</f>
        <v>37500</v>
      </c>
      <c r="N53" s="63" t="n">
        <f aca="false">J53-M53</f>
        <v>202830</v>
      </c>
      <c r="O53" s="63" t="n">
        <f aca="false">O52+N53</f>
        <v>9487139</v>
      </c>
      <c r="P53" s="63" t="n">
        <f aca="false">前提条件!$C$8-SUM(M$8:M53)</f>
        <v>2775000</v>
      </c>
      <c r="Q53" s="64" t="str">
        <f aca="false">IF(AND(K53&gt;=前提条件!$C$8,K52&lt;前提条件!$C$8),"◀投資回収","")</f>
        <v/>
      </c>
    </row>
    <row r="54" customFormat="false" ht="15" hidden="false" customHeight="false" outlineLevel="0" collapsed="false">
      <c r="A54" s="57" t="n">
        <v>47</v>
      </c>
      <c r="B54" s="58" t="n">
        <f aca="false">EDATE(前提条件!$C$11,A54-1)</f>
        <v>47818</v>
      </c>
      <c r="C54" s="59" t="n">
        <f aca="false">YEAR(B54)+IF(MONTH(B54)&gt;=7,1,0)-2027+48</f>
        <v>52</v>
      </c>
      <c r="D54" s="60" t="n">
        <f aca="false">前提条件!$C$26/365*DAY(EOMONTH(B54,0))</f>
        <v>31</v>
      </c>
      <c r="E54" s="61" t="n">
        <v>1</v>
      </c>
      <c r="F54" s="62" t="n">
        <f aca="false">前提条件!$C$64*D54*E54</f>
        <v>259625</v>
      </c>
      <c r="G54" s="62" t="n">
        <f aca="false">前提条件!$C$65*D54*E54</f>
        <v>2976</v>
      </c>
      <c r="H54" s="62" t="n">
        <f aca="false">(前提条件!$C$66+前提条件!$C$67)*D54</f>
        <v>6510</v>
      </c>
      <c r="I54" s="62" t="n">
        <f aca="false">前提条件!$C$74/12</f>
        <v>7500</v>
      </c>
      <c r="J54" s="63" t="n">
        <f aca="false">F54+G54-H54-I54</f>
        <v>248591</v>
      </c>
      <c r="K54" s="63" t="n">
        <f aca="false">K53+J54</f>
        <v>11460730</v>
      </c>
      <c r="L54" s="63" t="n">
        <f aca="false">MAX(前提条件!$C$8-K54,0)</f>
        <v>0</v>
      </c>
      <c r="M54" s="62" t="n">
        <f aca="false">前提条件!$C$10</f>
        <v>37500</v>
      </c>
      <c r="N54" s="63" t="n">
        <f aca="false">J54-M54</f>
        <v>211091</v>
      </c>
      <c r="O54" s="63" t="n">
        <f aca="false">O53+N54</f>
        <v>9698230</v>
      </c>
      <c r="P54" s="63" t="n">
        <f aca="false">前提条件!$C$8-SUM(M$8:M54)</f>
        <v>2737500</v>
      </c>
      <c r="Q54" s="64" t="str">
        <f aca="false">IF(AND(K54&gt;=前提条件!$C$8,K53&lt;前提条件!$C$8),"◀投資回収","")</f>
        <v/>
      </c>
    </row>
    <row r="55" customFormat="false" ht="15" hidden="false" customHeight="false" outlineLevel="0" collapsed="false">
      <c r="A55" s="57" t="n">
        <v>48</v>
      </c>
      <c r="B55" s="58" t="n">
        <f aca="false">EDATE(前提条件!$C$11,A55-1)</f>
        <v>47849</v>
      </c>
      <c r="C55" s="59" t="n">
        <f aca="false">YEAR(B55)+IF(MONTH(B55)&gt;=7,1,0)-2027+48</f>
        <v>52</v>
      </c>
      <c r="D55" s="60" t="n">
        <f aca="false">前提条件!$C$26/365*DAY(EOMONTH(B55,0))</f>
        <v>31</v>
      </c>
      <c r="E55" s="61" t="n">
        <v>1</v>
      </c>
      <c r="F55" s="62" t="n">
        <f aca="false">前提条件!$C$64*D55*E55</f>
        <v>259625</v>
      </c>
      <c r="G55" s="62" t="n">
        <f aca="false">前提条件!$C$65*D55*E55</f>
        <v>2976</v>
      </c>
      <c r="H55" s="62" t="n">
        <f aca="false">(前提条件!$C$66+前提条件!$C$67)*D55</f>
        <v>6510</v>
      </c>
      <c r="I55" s="62" t="n">
        <f aca="false">前提条件!$C$74/12</f>
        <v>7500</v>
      </c>
      <c r="J55" s="63" t="n">
        <f aca="false">F55+G55-H55-I55</f>
        <v>248591</v>
      </c>
      <c r="K55" s="63" t="n">
        <f aca="false">K54+J55</f>
        <v>11709321</v>
      </c>
      <c r="L55" s="63" t="n">
        <f aca="false">MAX(前提条件!$C$8-K55,0)</f>
        <v>0</v>
      </c>
      <c r="M55" s="62" t="n">
        <f aca="false">前提条件!$C$10</f>
        <v>37500</v>
      </c>
      <c r="N55" s="63" t="n">
        <f aca="false">J55-M55</f>
        <v>211091</v>
      </c>
      <c r="O55" s="63" t="n">
        <f aca="false">O54+N55</f>
        <v>9909321</v>
      </c>
      <c r="P55" s="63" t="n">
        <f aca="false">前提条件!$C$8-SUM(M$8:M55)</f>
        <v>2700000</v>
      </c>
      <c r="Q55" s="64" t="str">
        <f aca="false">IF(AND(K55&gt;=前提条件!$C$8,K54&lt;前提条件!$C$8),"◀投資回収","")</f>
        <v/>
      </c>
    </row>
    <row r="56" customFormat="false" ht="15" hidden="false" customHeight="false" outlineLevel="0" collapsed="false">
      <c r="A56" s="57" t="n">
        <v>49</v>
      </c>
      <c r="B56" s="58" t="n">
        <f aca="false">EDATE(前提条件!$C$11,A56-1)</f>
        <v>47880</v>
      </c>
      <c r="C56" s="59" t="n">
        <f aca="false">YEAR(B56)+IF(MONTH(B56)&gt;=7,1,0)-2027+48</f>
        <v>52</v>
      </c>
      <c r="D56" s="60" t="n">
        <f aca="false">前提条件!$C$26/365*DAY(EOMONTH(B56,0))</f>
        <v>28</v>
      </c>
      <c r="E56" s="61" t="n">
        <v>1</v>
      </c>
      <c r="F56" s="62" t="n">
        <f aca="false">前提条件!$C$64*D56*E56</f>
        <v>234500</v>
      </c>
      <c r="G56" s="62" t="n">
        <f aca="false">前提条件!$C$65*D56*E56</f>
        <v>2688</v>
      </c>
      <c r="H56" s="62" t="n">
        <f aca="false">(前提条件!$C$66+前提条件!$C$67)*D56</f>
        <v>5880</v>
      </c>
      <c r="I56" s="62" t="n">
        <f aca="false">前提条件!$C$74/12</f>
        <v>7500</v>
      </c>
      <c r="J56" s="63" t="n">
        <f aca="false">F56+G56-H56-I56</f>
        <v>223808</v>
      </c>
      <c r="K56" s="63" t="n">
        <f aca="false">K55+J56</f>
        <v>11933129</v>
      </c>
      <c r="L56" s="63" t="n">
        <f aca="false">MAX(前提条件!$C$8-K56,0)</f>
        <v>0</v>
      </c>
      <c r="M56" s="62" t="n">
        <f aca="false">前提条件!$C$10</f>
        <v>37500</v>
      </c>
      <c r="N56" s="63" t="n">
        <f aca="false">J56-M56</f>
        <v>186308</v>
      </c>
      <c r="O56" s="63" t="n">
        <f aca="false">O55+N56</f>
        <v>10095629</v>
      </c>
      <c r="P56" s="63" t="n">
        <f aca="false">前提条件!$C$8-SUM(M$8:M56)</f>
        <v>2662500</v>
      </c>
      <c r="Q56" s="64" t="str">
        <f aca="false">IF(AND(K56&gt;=前提条件!$C$8,K55&lt;前提条件!$C$8),"◀投資回収","")</f>
        <v/>
      </c>
    </row>
    <row r="57" customFormat="false" ht="15" hidden="false" customHeight="false" outlineLevel="0" collapsed="false">
      <c r="A57" s="57" t="n">
        <v>50</v>
      </c>
      <c r="B57" s="58" t="n">
        <f aca="false">EDATE(前提条件!$C$11,A57-1)</f>
        <v>47908</v>
      </c>
      <c r="C57" s="59" t="n">
        <f aca="false">YEAR(B57)+IF(MONTH(B57)&gt;=7,1,0)-2027+48</f>
        <v>52</v>
      </c>
      <c r="D57" s="60" t="n">
        <f aca="false">前提条件!$C$26/365*DAY(EOMONTH(B57,0))</f>
        <v>31</v>
      </c>
      <c r="E57" s="61" t="n">
        <v>1</v>
      </c>
      <c r="F57" s="62" t="n">
        <f aca="false">前提条件!$C$64*D57*E57</f>
        <v>259625</v>
      </c>
      <c r="G57" s="62" t="n">
        <f aca="false">前提条件!$C$65*D57*E57</f>
        <v>2976</v>
      </c>
      <c r="H57" s="62" t="n">
        <f aca="false">(前提条件!$C$66+前提条件!$C$67)*D57</f>
        <v>6510</v>
      </c>
      <c r="I57" s="62" t="n">
        <f aca="false">前提条件!$C$74/12</f>
        <v>7500</v>
      </c>
      <c r="J57" s="63" t="n">
        <f aca="false">F57+G57-H57-I57</f>
        <v>248591</v>
      </c>
      <c r="K57" s="63" t="n">
        <f aca="false">K56+J57</f>
        <v>12181720</v>
      </c>
      <c r="L57" s="63" t="n">
        <f aca="false">MAX(前提条件!$C$8-K57,0)</f>
        <v>0</v>
      </c>
      <c r="M57" s="62" t="n">
        <f aca="false">前提条件!$C$10</f>
        <v>37500</v>
      </c>
      <c r="N57" s="63" t="n">
        <f aca="false">J57-M57</f>
        <v>211091</v>
      </c>
      <c r="O57" s="63" t="n">
        <f aca="false">O56+N57</f>
        <v>10306720</v>
      </c>
      <c r="P57" s="63" t="n">
        <f aca="false">前提条件!$C$8-SUM(M$8:M57)</f>
        <v>2625000</v>
      </c>
      <c r="Q57" s="64" t="str">
        <f aca="false">IF(AND(K57&gt;=前提条件!$C$8,K56&lt;前提条件!$C$8),"◀投資回収","")</f>
        <v/>
      </c>
    </row>
    <row r="58" customFormat="false" ht="15" hidden="false" customHeight="false" outlineLevel="0" collapsed="false">
      <c r="A58" s="57" t="n">
        <v>51</v>
      </c>
      <c r="B58" s="58" t="n">
        <f aca="false">EDATE(前提条件!$C$11,A58-1)</f>
        <v>47939</v>
      </c>
      <c r="C58" s="59" t="n">
        <f aca="false">YEAR(B58)+IF(MONTH(B58)&gt;=7,1,0)-2027+48</f>
        <v>52</v>
      </c>
      <c r="D58" s="60" t="n">
        <f aca="false">前提条件!$C$26/365*DAY(EOMONTH(B58,0))</f>
        <v>30</v>
      </c>
      <c r="E58" s="61" t="n">
        <v>1</v>
      </c>
      <c r="F58" s="62" t="n">
        <f aca="false">前提条件!$C$64*D58*E58</f>
        <v>251250</v>
      </c>
      <c r="G58" s="62" t="n">
        <f aca="false">前提条件!$C$65*D58*E58</f>
        <v>2880</v>
      </c>
      <c r="H58" s="62" t="n">
        <f aca="false">(前提条件!$C$66+前提条件!$C$67)*D58</f>
        <v>6300</v>
      </c>
      <c r="I58" s="62" t="n">
        <f aca="false">前提条件!$C$74/12</f>
        <v>7500</v>
      </c>
      <c r="J58" s="63" t="n">
        <f aca="false">F58+G58-H58-I58</f>
        <v>240330</v>
      </c>
      <c r="K58" s="63" t="n">
        <f aca="false">K57+J58</f>
        <v>12422050</v>
      </c>
      <c r="L58" s="63" t="n">
        <f aca="false">MAX(前提条件!$C$8-K58,0)</f>
        <v>0</v>
      </c>
      <c r="M58" s="62" t="n">
        <f aca="false">前提条件!$C$10</f>
        <v>37500</v>
      </c>
      <c r="N58" s="63" t="n">
        <f aca="false">J58-M58</f>
        <v>202830</v>
      </c>
      <c r="O58" s="63" t="n">
        <f aca="false">O57+N58</f>
        <v>10509550</v>
      </c>
      <c r="P58" s="63" t="n">
        <f aca="false">前提条件!$C$8-SUM(M$8:M58)</f>
        <v>2587500</v>
      </c>
      <c r="Q58" s="64" t="str">
        <f aca="false">IF(AND(K58&gt;=前提条件!$C$8,K57&lt;前提条件!$C$8),"◀投資回収","")</f>
        <v/>
      </c>
    </row>
    <row r="59" customFormat="false" ht="15" hidden="false" customHeight="false" outlineLevel="0" collapsed="false">
      <c r="A59" s="57" t="n">
        <v>52</v>
      </c>
      <c r="B59" s="58" t="n">
        <f aca="false">EDATE(前提条件!$C$11,A59-1)</f>
        <v>47969</v>
      </c>
      <c r="C59" s="59" t="n">
        <f aca="false">YEAR(B59)+IF(MONTH(B59)&gt;=7,1,0)-2027+48</f>
        <v>52</v>
      </c>
      <c r="D59" s="60" t="n">
        <f aca="false">前提条件!$C$26/365*DAY(EOMONTH(B59,0))</f>
        <v>31</v>
      </c>
      <c r="E59" s="61" t="n">
        <v>1</v>
      </c>
      <c r="F59" s="62" t="n">
        <f aca="false">前提条件!$C$64*D59*E59</f>
        <v>259625</v>
      </c>
      <c r="G59" s="62" t="n">
        <f aca="false">前提条件!$C$65*D59*E59</f>
        <v>2976</v>
      </c>
      <c r="H59" s="62" t="n">
        <f aca="false">(前提条件!$C$66+前提条件!$C$67)*D59</f>
        <v>6510</v>
      </c>
      <c r="I59" s="62" t="n">
        <f aca="false">前提条件!$C$74/12</f>
        <v>7500</v>
      </c>
      <c r="J59" s="63" t="n">
        <f aca="false">F59+G59-H59-I59</f>
        <v>248591</v>
      </c>
      <c r="K59" s="63" t="n">
        <f aca="false">K58+J59</f>
        <v>12670641</v>
      </c>
      <c r="L59" s="63" t="n">
        <f aca="false">MAX(前提条件!$C$8-K59,0)</f>
        <v>0</v>
      </c>
      <c r="M59" s="62" t="n">
        <f aca="false">前提条件!$C$10</f>
        <v>37500</v>
      </c>
      <c r="N59" s="63" t="n">
        <f aca="false">J59-M59</f>
        <v>211091</v>
      </c>
      <c r="O59" s="63" t="n">
        <f aca="false">O58+N59</f>
        <v>10720641</v>
      </c>
      <c r="P59" s="63" t="n">
        <f aca="false">前提条件!$C$8-SUM(M$8:M59)</f>
        <v>2550000</v>
      </c>
      <c r="Q59" s="64" t="str">
        <f aca="false">IF(AND(K59&gt;=前提条件!$C$8,K58&lt;前提条件!$C$8),"◀投資回収","")</f>
        <v/>
      </c>
    </row>
    <row r="60" customFormat="false" ht="15" hidden="false" customHeight="false" outlineLevel="0" collapsed="false">
      <c r="A60" s="57" t="n">
        <v>53</v>
      </c>
      <c r="B60" s="58" t="n">
        <f aca="false">EDATE(前提条件!$C$11,A60-1)</f>
        <v>48000</v>
      </c>
      <c r="C60" s="59" t="n">
        <f aca="false">YEAR(B60)+IF(MONTH(B60)&gt;=7,1,0)-2027+48</f>
        <v>52</v>
      </c>
      <c r="D60" s="60" t="n">
        <f aca="false">前提条件!$C$26/365*DAY(EOMONTH(B60,0))</f>
        <v>30</v>
      </c>
      <c r="E60" s="61" t="n">
        <v>1</v>
      </c>
      <c r="F60" s="62" t="n">
        <f aca="false">前提条件!$C$64*D60*E60</f>
        <v>251250</v>
      </c>
      <c r="G60" s="62" t="n">
        <f aca="false">前提条件!$C$65*D60*E60</f>
        <v>2880</v>
      </c>
      <c r="H60" s="62" t="n">
        <f aca="false">(前提条件!$C$66+前提条件!$C$67)*D60</f>
        <v>6300</v>
      </c>
      <c r="I60" s="62" t="n">
        <f aca="false">前提条件!$C$74/12</f>
        <v>7500</v>
      </c>
      <c r="J60" s="63" t="n">
        <f aca="false">F60+G60-H60-I60</f>
        <v>240330</v>
      </c>
      <c r="K60" s="63" t="n">
        <f aca="false">K59+J60</f>
        <v>12910971</v>
      </c>
      <c r="L60" s="63" t="n">
        <f aca="false">MAX(前提条件!$C$8-K60,0)</f>
        <v>0</v>
      </c>
      <c r="M60" s="62" t="n">
        <f aca="false">前提条件!$C$10</f>
        <v>37500</v>
      </c>
      <c r="N60" s="63" t="n">
        <f aca="false">J60-M60</f>
        <v>202830</v>
      </c>
      <c r="O60" s="63" t="n">
        <f aca="false">O59+N60</f>
        <v>10923471</v>
      </c>
      <c r="P60" s="63" t="n">
        <f aca="false">前提条件!$C$8-SUM(M$8:M60)</f>
        <v>2512500</v>
      </c>
      <c r="Q60" s="64" t="str">
        <f aca="false">IF(AND(K60&gt;=前提条件!$C$8,K59&lt;前提条件!$C$8),"◀投資回収","")</f>
        <v/>
      </c>
    </row>
    <row r="61" customFormat="false" ht="15" hidden="false" customHeight="false" outlineLevel="0" collapsed="false">
      <c r="A61" s="57" t="n">
        <v>54</v>
      </c>
      <c r="B61" s="58" t="n">
        <f aca="false">EDATE(前提条件!$C$11,A61-1)</f>
        <v>48030</v>
      </c>
      <c r="C61" s="59" t="n">
        <f aca="false">YEAR(B61)+IF(MONTH(B61)&gt;=7,1,0)-2027+48</f>
        <v>53</v>
      </c>
      <c r="D61" s="60" t="n">
        <f aca="false">前提条件!$C$26/365*DAY(EOMONTH(B61,0))</f>
        <v>31</v>
      </c>
      <c r="E61" s="61" t="n">
        <v>1</v>
      </c>
      <c r="F61" s="62" t="n">
        <f aca="false">前提条件!$C$64*D61*E61</f>
        <v>259625</v>
      </c>
      <c r="G61" s="62" t="n">
        <f aca="false">前提条件!$C$65*D61*E61</f>
        <v>2976</v>
      </c>
      <c r="H61" s="62" t="n">
        <f aca="false">(前提条件!$C$66+前提条件!$C$67)*D61</f>
        <v>6510</v>
      </c>
      <c r="I61" s="62" t="n">
        <f aca="false">前提条件!$C$74/12</f>
        <v>7500</v>
      </c>
      <c r="J61" s="63" t="n">
        <f aca="false">F61+G61-H61-I61</f>
        <v>248591</v>
      </c>
      <c r="K61" s="63" t="n">
        <f aca="false">K60+J61</f>
        <v>13159562</v>
      </c>
      <c r="L61" s="63" t="n">
        <f aca="false">MAX(前提条件!$C$8-K61,0)</f>
        <v>0</v>
      </c>
      <c r="M61" s="62" t="n">
        <f aca="false">前提条件!$C$10</f>
        <v>37500</v>
      </c>
      <c r="N61" s="63" t="n">
        <f aca="false">J61-M61</f>
        <v>211091</v>
      </c>
      <c r="O61" s="63" t="n">
        <f aca="false">O60+N61</f>
        <v>11134562</v>
      </c>
      <c r="P61" s="63" t="n">
        <f aca="false">前提条件!$C$8-SUM(M$8:M61)</f>
        <v>2475000</v>
      </c>
      <c r="Q61" s="64" t="str">
        <f aca="false">IF(AND(K61&gt;=前提条件!$C$8,K60&lt;前提条件!$C$8),"◀投資回収","")</f>
        <v/>
      </c>
    </row>
    <row r="62" customFormat="false" ht="15" hidden="false" customHeight="false" outlineLevel="0" collapsed="false">
      <c r="A62" s="57" t="n">
        <v>55</v>
      </c>
      <c r="B62" s="58" t="n">
        <f aca="false">EDATE(前提条件!$C$11,A62-1)</f>
        <v>48061</v>
      </c>
      <c r="C62" s="59" t="n">
        <f aca="false">YEAR(B62)+IF(MONTH(B62)&gt;=7,1,0)-2027+48</f>
        <v>53</v>
      </c>
      <c r="D62" s="60" t="n">
        <f aca="false">前提条件!$C$26/365*DAY(EOMONTH(B62,0))</f>
        <v>31</v>
      </c>
      <c r="E62" s="61" t="n">
        <v>1</v>
      </c>
      <c r="F62" s="62" t="n">
        <f aca="false">前提条件!$C$64*D62*E62</f>
        <v>259625</v>
      </c>
      <c r="G62" s="62" t="n">
        <f aca="false">前提条件!$C$65*D62*E62</f>
        <v>2976</v>
      </c>
      <c r="H62" s="62" t="n">
        <f aca="false">(前提条件!$C$66+前提条件!$C$67)*D62</f>
        <v>6510</v>
      </c>
      <c r="I62" s="62" t="n">
        <f aca="false">前提条件!$C$74/12</f>
        <v>7500</v>
      </c>
      <c r="J62" s="63" t="n">
        <f aca="false">F62+G62-H62-I62</f>
        <v>248591</v>
      </c>
      <c r="K62" s="63" t="n">
        <f aca="false">K61+J62</f>
        <v>13408153</v>
      </c>
      <c r="L62" s="63" t="n">
        <f aca="false">MAX(前提条件!$C$8-K62,0)</f>
        <v>0</v>
      </c>
      <c r="M62" s="62" t="n">
        <f aca="false">前提条件!$C$10</f>
        <v>37500</v>
      </c>
      <c r="N62" s="63" t="n">
        <f aca="false">J62-M62</f>
        <v>211091</v>
      </c>
      <c r="O62" s="63" t="n">
        <f aca="false">O61+N62</f>
        <v>11345653</v>
      </c>
      <c r="P62" s="63" t="n">
        <f aca="false">前提条件!$C$8-SUM(M$8:M62)</f>
        <v>2437500</v>
      </c>
      <c r="Q62" s="64" t="str">
        <f aca="false">IF(AND(K62&gt;=前提条件!$C$8,K61&lt;前提条件!$C$8),"◀投資回収","")</f>
        <v/>
      </c>
    </row>
    <row r="63" customFormat="false" ht="15" hidden="false" customHeight="false" outlineLevel="0" collapsed="false">
      <c r="A63" s="57" t="n">
        <v>56</v>
      </c>
      <c r="B63" s="58" t="n">
        <f aca="false">EDATE(前提条件!$C$11,A63-1)</f>
        <v>48092</v>
      </c>
      <c r="C63" s="59" t="n">
        <f aca="false">YEAR(B63)+IF(MONTH(B63)&gt;=7,1,0)-2027+48</f>
        <v>53</v>
      </c>
      <c r="D63" s="60" t="n">
        <f aca="false">前提条件!$C$26/365*DAY(EOMONTH(B63,0))</f>
        <v>30</v>
      </c>
      <c r="E63" s="61" t="n">
        <v>1</v>
      </c>
      <c r="F63" s="62" t="n">
        <f aca="false">前提条件!$C$64*D63*E63</f>
        <v>251250</v>
      </c>
      <c r="G63" s="62" t="n">
        <f aca="false">前提条件!$C$65*D63*E63</f>
        <v>2880</v>
      </c>
      <c r="H63" s="62" t="n">
        <f aca="false">(前提条件!$C$66+前提条件!$C$67)*D63</f>
        <v>6300</v>
      </c>
      <c r="I63" s="62" t="n">
        <f aca="false">前提条件!$C$74/12</f>
        <v>7500</v>
      </c>
      <c r="J63" s="63" t="n">
        <f aca="false">F63+G63-H63-I63</f>
        <v>240330</v>
      </c>
      <c r="K63" s="63" t="n">
        <f aca="false">K62+J63</f>
        <v>13648483</v>
      </c>
      <c r="L63" s="63" t="n">
        <f aca="false">MAX(前提条件!$C$8-K63,0)</f>
        <v>0</v>
      </c>
      <c r="M63" s="62" t="n">
        <f aca="false">前提条件!$C$10</f>
        <v>37500</v>
      </c>
      <c r="N63" s="63" t="n">
        <f aca="false">J63-M63</f>
        <v>202830</v>
      </c>
      <c r="O63" s="63" t="n">
        <f aca="false">O62+N63</f>
        <v>11548483</v>
      </c>
      <c r="P63" s="63" t="n">
        <f aca="false">前提条件!$C$8-SUM(M$8:M63)</f>
        <v>2400000</v>
      </c>
      <c r="Q63" s="64" t="str">
        <f aca="false">IF(AND(K63&gt;=前提条件!$C$8,K62&lt;前提条件!$C$8),"◀投資回収","")</f>
        <v/>
      </c>
    </row>
    <row r="64" customFormat="false" ht="15" hidden="false" customHeight="false" outlineLevel="0" collapsed="false">
      <c r="A64" s="57" t="n">
        <v>57</v>
      </c>
      <c r="B64" s="58" t="n">
        <f aca="false">EDATE(前提条件!$C$11,A64-1)</f>
        <v>48122</v>
      </c>
      <c r="C64" s="59" t="n">
        <f aca="false">YEAR(B64)+IF(MONTH(B64)&gt;=7,1,0)-2027+48</f>
        <v>53</v>
      </c>
      <c r="D64" s="60" t="n">
        <f aca="false">前提条件!$C$26/365*DAY(EOMONTH(B64,0))</f>
        <v>31</v>
      </c>
      <c r="E64" s="61" t="n">
        <v>1</v>
      </c>
      <c r="F64" s="62" t="n">
        <f aca="false">前提条件!$C$64*D64*E64</f>
        <v>259625</v>
      </c>
      <c r="G64" s="62" t="n">
        <f aca="false">前提条件!$C$65*D64*E64</f>
        <v>2976</v>
      </c>
      <c r="H64" s="62" t="n">
        <f aca="false">(前提条件!$C$66+前提条件!$C$67)*D64</f>
        <v>6510</v>
      </c>
      <c r="I64" s="62" t="n">
        <f aca="false">前提条件!$C$74/12</f>
        <v>7500</v>
      </c>
      <c r="J64" s="63" t="n">
        <f aca="false">F64+G64-H64-I64</f>
        <v>248591</v>
      </c>
      <c r="K64" s="63" t="n">
        <f aca="false">K63+J64</f>
        <v>13897074</v>
      </c>
      <c r="L64" s="63" t="n">
        <f aca="false">MAX(前提条件!$C$8-K64,0)</f>
        <v>0</v>
      </c>
      <c r="M64" s="62" t="n">
        <f aca="false">前提条件!$C$10</f>
        <v>37500</v>
      </c>
      <c r="N64" s="63" t="n">
        <f aca="false">J64-M64</f>
        <v>211091</v>
      </c>
      <c r="O64" s="63" t="n">
        <f aca="false">O63+N64</f>
        <v>11759574</v>
      </c>
      <c r="P64" s="63" t="n">
        <f aca="false">前提条件!$C$8-SUM(M$8:M64)</f>
        <v>2362500</v>
      </c>
      <c r="Q64" s="64" t="str">
        <f aca="false">IF(AND(K64&gt;=前提条件!$C$8,K63&lt;前提条件!$C$8),"◀投資回収","")</f>
        <v/>
      </c>
    </row>
    <row r="65" customFormat="false" ht="15" hidden="false" customHeight="false" outlineLevel="0" collapsed="false">
      <c r="A65" s="57" t="n">
        <v>58</v>
      </c>
      <c r="B65" s="58" t="n">
        <f aca="false">EDATE(前提条件!$C$11,A65-1)</f>
        <v>48153</v>
      </c>
      <c r="C65" s="59" t="n">
        <f aca="false">YEAR(B65)+IF(MONTH(B65)&gt;=7,1,0)-2027+48</f>
        <v>53</v>
      </c>
      <c r="D65" s="60" t="n">
        <f aca="false">前提条件!$C$26/365*DAY(EOMONTH(B65,0))</f>
        <v>30</v>
      </c>
      <c r="E65" s="61" t="n">
        <v>1</v>
      </c>
      <c r="F65" s="62" t="n">
        <f aca="false">前提条件!$C$64*D65*E65</f>
        <v>251250</v>
      </c>
      <c r="G65" s="62" t="n">
        <f aca="false">前提条件!$C$65*D65*E65</f>
        <v>2880</v>
      </c>
      <c r="H65" s="62" t="n">
        <f aca="false">(前提条件!$C$66+前提条件!$C$67)*D65</f>
        <v>6300</v>
      </c>
      <c r="I65" s="62" t="n">
        <f aca="false">前提条件!$C$74/12</f>
        <v>7500</v>
      </c>
      <c r="J65" s="63" t="n">
        <f aca="false">F65+G65-H65-I65</f>
        <v>240330</v>
      </c>
      <c r="K65" s="63" t="n">
        <f aca="false">K64+J65</f>
        <v>14137404</v>
      </c>
      <c r="L65" s="63" t="n">
        <f aca="false">MAX(前提条件!$C$8-K65,0)</f>
        <v>0</v>
      </c>
      <c r="M65" s="62" t="n">
        <f aca="false">前提条件!$C$10</f>
        <v>37500</v>
      </c>
      <c r="N65" s="63" t="n">
        <f aca="false">J65-M65</f>
        <v>202830</v>
      </c>
      <c r="O65" s="63" t="n">
        <f aca="false">O64+N65</f>
        <v>11962404</v>
      </c>
      <c r="P65" s="63" t="n">
        <f aca="false">前提条件!$C$8-SUM(M$8:M65)</f>
        <v>2325000</v>
      </c>
      <c r="Q65" s="64" t="str">
        <f aca="false">IF(AND(K65&gt;=前提条件!$C$8,K64&lt;前提条件!$C$8),"◀投資回収","")</f>
        <v/>
      </c>
    </row>
    <row r="66" customFormat="false" ht="15" hidden="false" customHeight="false" outlineLevel="0" collapsed="false">
      <c r="A66" s="57" t="n">
        <v>59</v>
      </c>
      <c r="B66" s="58" t="n">
        <f aca="false">EDATE(前提条件!$C$11,A66-1)</f>
        <v>48183</v>
      </c>
      <c r="C66" s="59" t="n">
        <f aca="false">YEAR(B66)+IF(MONTH(B66)&gt;=7,1,0)-2027+48</f>
        <v>53</v>
      </c>
      <c r="D66" s="60" t="n">
        <f aca="false">前提条件!$C$26/365*DAY(EOMONTH(B66,0))</f>
        <v>31</v>
      </c>
      <c r="E66" s="61" t="n">
        <v>1</v>
      </c>
      <c r="F66" s="62" t="n">
        <f aca="false">前提条件!$C$64*D66*E66</f>
        <v>259625</v>
      </c>
      <c r="G66" s="62" t="n">
        <f aca="false">前提条件!$C$65*D66*E66</f>
        <v>2976</v>
      </c>
      <c r="H66" s="62" t="n">
        <f aca="false">(前提条件!$C$66+前提条件!$C$67)*D66</f>
        <v>6510</v>
      </c>
      <c r="I66" s="62" t="n">
        <f aca="false">前提条件!$C$74/12</f>
        <v>7500</v>
      </c>
      <c r="J66" s="63" t="n">
        <f aca="false">F66+G66-H66-I66</f>
        <v>248591</v>
      </c>
      <c r="K66" s="63" t="n">
        <f aca="false">K65+J66</f>
        <v>14385995</v>
      </c>
      <c r="L66" s="63" t="n">
        <f aca="false">MAX(前提条件!$C$8-K66,0)</f>
        <v>0</v>
      </c>
      <c r="M66" s="62" t="n">
        <f aca="false">前提条件!$C$10</f>
        <v>37500</v>
      </c>
      <c r="N66" s="63" t="n">
        <f aca="false">J66-M66</f>
        <v>211091</v>
      </c>
      <c r="O66" s="63" t="n">
        <f aca="false">O65+N66</f>
        <v>12173495</v>
      </c>
      <c r="P66" s="63" t="n">
        <f aca="false">前提条件!$C$8-SUM(M$8:M66)</f>
        <v>2287500</v>
      </c>
      <c r="Q66" s="64" t="str">
        <f aca="false">IF(AND(K66&gt;=前提条件!$C$8,K65&lt;前提条件!$C$8),"◀投資回収","")</f>
        <v/>
      </c>
    </row>
    <row r="67" customFormat="false" ht="15" hidden="false" customHeight="false" outlineLevel="0" collapsed="false">
      <c r="A67" s="57" t="n">
        <v>60</v>
      </c>
      <c r="B67" s="58" t="n">
        <f aca="false">EDATE(前提条件!$C$11,A67-1)</f>
        <v>48214</v>
      </c>
      <c r="C67" s="59" t="n">
        <f aca="false">YEAR(B67)+IF(MONTH(B67)&gt;=7,1,0)-2027+48</f>
        <v>53</v>
      </c>
      <c r="D67" s="60" t="n">
        <f aca="false">前提条件!$C$26/365*DAY(EOMONTH(B67,0))</f>
        <v>31</v>
      </c>
      <c r="E67" s="61" t="n">
        <v>1</v>
      </c>
      <c r="F67" s="62" t="n">
        <f aca="false">前提条件!$C$64*D67*E67</f>
        <v>259625</v>
      </c>
      <c r="G67" s="62" t="n">
        <f aca="false">前提条件!$C$65*D67*E67</f>
        <v>2976</v>
      </c>
      <c r="H67" s="62" t="n">
        <f aca="false">(前提条件!$C$66+前提条件!$C$67)*D67</f>
        <v>6510</v>
      </c>
      <c r="I67" s="62" t="n">
        <f aca="false">前提条件!$C$74/12</f>
        <v>7500</v>
      </c>
      <c r="J67" s="63" t="n">
        <f aca="false">F67+G67-H67-I67</f>
        <v>248591</v>
      </c>
      <c r="K67" s="63" t="n">
        <f aca="false">K66+J67</f>
        <v>14634586</v>
      </c>
      <c r="L67" s="63" t="n">
        <f aca="false">MAX(前提条件!$C$8-K67,0)</f>
        <v>0</v>
      </c>
      <c r="M67" s="62" t="n">
        <f aca="false">前提条件!$C$10</f>
        <v>37500</v>
      </c>
      <c r="N67" s="63" t="n">
        <f aca="false">J67-M67</f>
        <v>211091</v>
      </c>
      <c r="O67" s="63" t="n">
        <f aca="false">O66+N67</f>
        <v>12384586</v>
      </c>
      <c r="P67" s="63" t="n">
        <f aca="false">前提条件!$C$8-SUM(M$8:M67)</f>
        <v>2250000</v>
      </c>
      <c r="Q67" s="64" t="str">
        <f aca="false">IF(AND(K67&gt;=前提条件!$C$8,K66&lt;前提条件!$C$8),"◀投資回収","")</f>
        <v/>
      </c>
    </row>
    <row r="68" customFormat="false" ht="15" hidden="false" customHeight="false" outlineLevel="0" collapsed="false">
      <c r="A68" s="57" t="n">
        <v>61</v>
      </c>
      <c r="B68" s="58" t="n">
        <f aca="false">EDATE(前提条件!$C$11,A68-1)</f>
        <v>48245</v>
      </c>
      <c r="C68" s="59" t="n">
        <f aca="false">YEAR(B68)+IF(MONTH(B68)&gt;=7,1,0)-2027+48</f>
        <v>53</v>
      </c>
      <c r="D68" s="60" t="n">
        <f aca="false">前提条件!$C$26/365*DAY(EOMONTH(B68,0))</f>
        <v>29</v>
      </c>
      <c r="E68" s="61" t="n">
        <v>1</v>
      </c>
      <c r="F68" s="62" t="n">
        <f aca="false">前提条件!$C$64*D68*E68</f>
        <v>242875</v>
      </c>
      <c r="G68" s="62" t="n">
        <f aca="false">前提条件!$C$65*D68*E68</f>
        <v>2784</v>
      </c>
      <c r="H68" s="62" t="n">
        <f aca="false">(前提条件!$C$66+前提条件!$C$67)*D68</f>
        <v>6090</v>
      </c>
      <c r="I68" s="62" t="n">
        <f aca="false">前提条件!$C$74/12</f>
        <v>7500</v>
      </c>
      <c r="J68" s="63" t="n">
        <f aca="false">F68+G68-H68-I68</f>
        <v>232069</v>
      </c>
      <c r="K68" s="63" t="n">
        <f aca="false">K67+J68</f>
        <v>14866655</v>
      </c>
      <c r="L68" s="63" t="n">
        <f aca="false">MAX(前提条件!$C$8-K68,0)</f>
        <v>0</v>
      </c>
      <c r="M68" s="62" t="n">
        <f aca="false">前提条件!$C$10</f>
        <v>37500</v>
      </c>
      <c r="N68" s="63" t="n">
        <f aca="false">J68-M68</f>
        <v>194569</v>
      </c>
      <c r="O68" s="63" t="n">
        <f aca="false">O67+N68</f>
        <v>12579155</v>
      </c>
      <c r="P68" s="63" t="n">
        <f aca="false">前提条件!$C$8-SUM(M$8:M68)</f>
        <v>2212500</v>
      </c>
      <c r="Q68" s="64" t="str">
        <f aca="false">IF(AND(K68&gt;=前提条件!$C$8,K67&lt;前提条件!$C$8),"◀投資回収","")</f>
        <v/>
      </c>
    </row>
    <row r="69" customFormat="false" ht="15" hidden="false" customHeight="false" outlineLevel="0" collapsed="false">
      <c r="A69" s="57" t="n">
        <v>62</v>
      </c>
      <c r="B69" s="58" t="n">
        <f aca="false">EDATE(前提条件!$C$11,A69-1)</f>
        <v>48274</v>
      </c>
      <c r="C69" s="59" t="n">
        <f aca="false">YEAR(B69)+IF(MONTH(B69)&gt;=7,1,0)-2027+48</f>
        <v>53</v>
      </c>
      <c r="D69" s="60" t="n">
        <f aca="false">前提条件!$C$26/365*DAY(EOMONTH(B69,0))</f>
        <v>31</v>
      </c>
      <c r="E69" s="61" t="n">
        <v>1</v>
      </c>
      <c r="F69" s="62" t="n">
        <f aca="false">前提条件!$C$64*D69*E69</f>
        <v>259625</v>
      </c>
      <c r="G69" s="62" t="n">
        <f aca="false">前提条件!$C$65*D69*E69</f>
        <v>2976</v>
      </c>
      <c r="H69" s="62" t="n">
        <f aca="false">(前提条件!$C$66+前提条件!$C$67)*D69</f>
        <v>6510</v>
      </c>
      <c r="I69" s="62" t="n">
        <f aca="false">前提条件!$C$74/12</f>
        <v>7500</v>
      </c>
      <c r="J69" s="63" t="n">
        <f aca="false">F69+G69-H69-I69</f>
        <v>248591</v>
      </c>
      <c r="K69" s="63" t="n">
        <f aca="false">K68+J69</f>
        <v>15115246</v>
      </c>
      <c r="L69" s="63" t="n">
        <f aca="false">MAX(前提条件!$C$8-K69,0)</f>
        <v>0</v>
      </c>
      <c r="M69" s="62" t="n">
        <f aca="false">前提条件!$C$10</f>
        <v>37500</v>
      </c>
      <c r="N69" s="63" t="n">
        <f aca="false">J69-M69</f>
        <v>211091</v>
      </c>
      <c r="O69" s="63" t="n">
        <f aca="false">O68+N69</f>
        <v>12790246</v>
      </c>
      <c r="P69" s="63" t="n">
        <f aca="false">前提条件!$C$8-SUM(M$8:M69)</f>
        <v>2175000</v>
      </c>
      <c r="Q69" s="64" t="str">
        <f aca="false">IF(AND(K69&gt;=前提条件!$C$8,K68&lt;前提条件!$C$8),"◀投資回収","")</f>
        <v/>
      </c>
    </row>
    <row r="70" customFormat="false" ht="15" hidden="false" customHeight="false" outlineLevel="0" collapsed="false">
      <c r="A70" s="57" t="n">
        <v>63</v>
      </c>
      <c r="B70" s="58" t="n">
        <f aca="false">EDATE(前提条件!$C$11,A70-1)</f>
        <v>48305</v>
      </c>
      <c r="C70" s="59" t="n">
        <f aca="false">YEAR(B70)+IF(MONTH(B70)&gt;=7,1,0)-2027+48</f>
        <v>53</v>
      </c>
      <c r="D70" s="60" t="n">
        <f aca="false">前提条件!$C$26/365*DAY(EOMONTH(B70,0))</f>
        <v>30</v>
      </c>
      <c r="E70" s="61" t="n">
        <v>1</v>
      </c>
      <c r="F70" s="62" t="n">
        <f aca="false">前提条件!$C$64*D70*E70</f>
        <v>251250</v>
      </c>
      <c r="G70" s="62" t="n">
        <f aca="false">前提条件!$C$65*D70*E70</f>
        <v>2880</v>
      </c>
      <c r="H70" s="62" t="n">
        <f aca="false">(前提条件!$C$66+前提条件!$C$67)*D70</f>
        <v>6300</v>
      </c>
      <c r="I70" s="62" t="n">
        <f aca="false">前提条件!$C$74/12</f>
        <v>7500</v>
      </c>
      <c r="J70" s="63" t="n">
        <f aca="false">F70+G70-H70-I70</f>
        <v>240330</v>
      </c>
      <c r="K70" s="63" t="n">
        <f aca="false">K69+J70</f>
        <v>15355576</v>
      </c>
      <c r="L70" s="63" t="n">
        <f aca="false">MAX(前提条件!$C$8-K70,0)</f>
        <v>0</v>
      </c>
      <c r="M70" s="62" t="n">
        <f aca="false">前提条件!$C$10</f>
        <v>37500</v>
      </c>
      <c r="N70" s="63" t="n">
        <f aca="false">J70-M70</f>
        <v>202830</v>
      </c>
      <c r="O70" s="63" t="n">
        <f aca="false">O69+N70</f>
        <v>12993076</v>
      </c>
      <c r="P70" s="63" t="n">
        <f aca="false">前提条件!$C$8-SUM(M$8:M70)</f>
        <v>2137500</v>
      </c>
      <c r="Q70" s="64" t="str">
        <f aca="false">IF(AND(K70&gt;=前提条件!$C$8,K69&lt;前提条件!$C$8),"◀投資回収","")</f>
        <v/>
      </c>
    </row>
    <row r="71" customFormat="false" ht="15" hidden="false" customHeight="false" outlineLevel="0" collapsed="false">
      <c r="A71" s="57" t="n">
        <v>64</v>
      </c>
      <c r="B71" s="58" t="n">
        <f aca="false">EDATE(前提条件!$C$11,A71-1)</f>
        <v>48335</v>
      </c>
      <c r="C71" s="59" t="n">
        <f aca="false">YEAR(B71)+IF(MONTH(B71)&gt;=7,1,0)-2027+48</f>
        <v>53</v>
      </c>
      <c r="D71" s="60" t="n">
        <f aca="false">前提条件!$C$26/365*DAY(EOMONTH(B71,0))</f>
        <v>31</v>
      </c>
      <c r="E71" s="61" t="n">
        <v>1</v>
      </c>
      <c r="F71" s="62" t="n">
        <f aca="false">前提条件!$C$64*D71*E71</f>
        <v>259625</v>
      </c>
      <c r="G71" s="62" t="n">
        <f aca="false">前提条件!$C$65*D71*E71</f>
        <v>2976</v>
      </c>
      <c r="H71" s="62" t="n">
        <f aca="false">(前提条件!$C$66+前提条件!$C$67)*D71</f>
        <v>6510</v>
      </c>
      <c r="I71" s="62" t="n">
        <f aca="false">前提条件!$C$74/12</f>
        <v>7500</v>
      </c>
      <c r="J71" s="63" t="n">
        <f aca="false">F71+G71-H71-I71</f>
        <v>248591</v>
      </c>
      <c r="K71" s="63" t="n">
        <f aca="false">K70+J71</f>
        <v>15604167</v>
      </c>
      <c r="L71" s="63" t="n">
        <f aca="false">MAX(前提条件!$C$8-K71,0)</f>
        <v>0</v>
      </c>
      <c r="M71" s="62" t="n">
        <f aca="false">前提条件!$C$10</f>
        <v>37500</v>
      </c>
      <c r="N71" s="63" t="n">
        <f aca="false">J71-M71</f>
        <v>211091</v>
      </c>
      <c r="O71" s="63" t="n">
        <f aca="false">O70+N71</f>
        <v>13204167</v>
      </c>
      <c r="P71" s="63" t="n">
        <f aca="false">前提条件!$C$8-SUM(M$8:M71)</f>
        <v>2100000</v>
      </c>
      <c r="Q71" s="64" t="str">
        <f aca="false">IF(AND(K71&gt;=前提条件!$C$8,K70&lt;前提条件!$C$8),"◀投資回収","")</f>
        <v/>
      </c>
    </row>
    <row r="72" customFormat="false" ht="15" hidden="false" customHeight="false" outlineLevel="0" collapsed="false">
      <c r="A72" s="57" t="n">
        <v>65</v>
      </c>
      <c r="B72" s="58" t="n">
        <f aca="false">EDATE(前提条件!$C$11,A72-1)</f>
        <v>48366</v>
      </c>
      <c r="C72" s="59" t="n">
        <f aca="false">YEAR(B72)+IF(MONTH(B72)&gt;=7,1,0)-2027+48</f>
        <v>53</v>
      </c>
      <c r="D72" s="60" t="n">
        <f aca="false">前提条件!$C$26/365*DAY(EOMONTH(B72,0))</f>
        <v>30</v>
      </c>
      <c r="E72" s="61" t="n">
        <v>1</v>
      </c>
      <c r="F72" s="62" t="n">
        <f aca="false">前提条件!$C$64*D72*E72</f>
        <v>251250</v>
      </c>
      <c r="G72" s="62" t="n">
        <f aca="false">前提条件!$C$65*D72*E72</f>
        <v>2880</v>
      </c>
      <c r="H72" s="62" t="n">
        <f aca="false">(前提条件!$C$66+前提条件!$C$67)*D72</f>
        <v>6300</v>
      </c>
      <c r="I72" s="62" t="n">
        <f aca="false">前提条件!$C$74/12</f>
        <v>7500</v>
      </c>
      <c r="J72" s="63" t="n">
        <f aca="false">F72+G72-H72-I72</f>
        <v>240330</v>
      </c>
      <c r="K72" s="63" t="n">
        <f aca="false">K71+J72</f>
        <v>15844497</v>
      </c>
      <c r="L72" s="63" t="n">
        <f aca="false">MAX(前提条件!$C$8-K72,0)</f>
        <v>0</v>
      </c>
      <c r="M72" s="62" t="n">
        <f aca="false">前提条件!$C$10</f>
        <v>37500</v>
      </c>
      <c r="N72" s="63" t="n">
        <f aca="false">J72-M72</f>
        <v>202830</v>
      </c>
      <c r="O72" s="63" t="n">
        <f aca="false">O71+N72</f>
        <v>13406997</v>
      </c>
      <c r="P72" s="63" t="n">
        <f aca="false">前提条件!$C$8-SUM(M$8:M72)</f>
        <v>2062500</v>
      </c>
      <c r="Q72" s="64" t="str">
        <f aca="false">IF(AND(K72&gt;=前提条件!$C$8,K71&lt;前提条件!$C$8),"◀投資回収","")</f>
        <v/>
      </c>
    </row>
    <row r="73" customFormat="false" ht="15" hidden="false" customHeight="false" outlineLevel="0" collapsed="false">
      <c r="A73" s="57" t="n">
        <v>66</v>
      </c>
      <c r="B73" s="58" t="n">
        <f aca="false">EDATE(前提条件!$C$11,A73-1)</f>
        <v>48396</v>
      </c>
      <c r="C73" s="59" t="n">
        <f aca="false">YEAR(B73)+IF(MONTH(B73)&gt;=7,1,0)-2027+48</f>
        <v>54</v>
      </c>
      <c r="D73" s="60" t="n">
        <f aca="false">前提条件!$C$26/365*DAY(EOMONTH(B73,0))</f>
        <v>31</v>
      </c>
      <c r="E73" s="61" t="n">
        <v>1</v>
      </c>
      <c r="F73" s="62" t="n">
        <f aca="false">前提条件!$C$64*D73*E73</f>
        <v>259625</v>
      </c>
      <c r="G73" s="62" t="n">
        <f aca="false">前提条件!$C$65*D73*E73</f>
        <v>2976</v>
      </c>
      <c r="H73" s="62" t="n">
        <f aca="false">(前提条件!$C$66+前提条件!$C$67)*D73</f>
        <v>6510</v>
      </c>
      <c r="I73" s="62" t="n">
        <f aca="false">前提条件!$C$74/12</f>
        <v>7500</v>
      </c>
      <c r="J73" s="63" t="n">
        <f aca="false">F73+G73-H73-I73</f>
        <v>248591</v>
      </c>
      <c r="K73" s="63" t="n">
        <f aca="false">K72+J73</f>
        <v>16093088</v>
      </c>
      <c r="L73" s="63" t="n">
        <f aca="false">MAX(前提条件!$C$8-K73,0)</f>
        <v>0</v>
      </c>
      <c r="M73" s="62" t="n">
        <f aca="false">前提条件!$C$10</f>
        <v>37500</v>
      </c>
      <c r="N73" s="63" t="n">
        <f aca="false">J73-M73</f>
        <v>211091</v>
      </c>
      <c r="O73" s="63" t="n">
        <f aca="false">O72+N73</f>
        <v>13618088</v>
      </c>
      <c r="P73" s="63" t="n">
        <f aca="false">前提条件!$C$8-SUM(M$8:M73)</f>
        <v>2025000</v>
      </c>
      <c r="Q73" s="64" t="str">
        <f aca="false">IF(AND(K73&gt;=前提条件!$C$8,K72&lt;前提条件!$C$8),"◀投資回収","")</f>
        <v/>
      </c>
    </row>
    <row r="74" customFormat="false" ht="15" hidden="false" customHeight="false" outlineLevel="0" collapsed="false">
      <c r="A74" s="57" t="n">
        <v>67</v>
      </c>
      <c r="B74" s="58" t="n">
        <f aca="false">EDATE(前提条件!$C$11,A74-1)</f>
        <v>48427</v>
      </c>
      <c r="C74" s="59" t="n">
        <f aca="false">YEAR(B74)+IF(MONTH(B74)&gt;=7,1,0)-2027+48</f>
        <v>54</v>
      </c>
      <c r="D74" s="60" t="n">
        <f aca="false">前提条件!$C$26/365*DAY(EOMONTH(B74,0))</f>
        <v>31</v>
      </c>
      <c r="E74" s="61" t="n">
        <v>1</v>
      </c>
      <c r="F74" s="62" t="n">
        <f aca="false">前提条件!$C$64*D74*E74</f>
        <v>259625</v>
      </c>
      <c r="G74" s="62" t="n">
        <f aca="false">前提条件!$C$65*D74*E74</f>
        <v>2976</v>
      </c>
      <c r="H74" s="62" t="n">
        <f aca="false">(前提条件!$C$66+前提条件!$C$67)*D74</f>
        <v>6510</v>
      </c>
      <c r="I74" s="62" t="n">
        <f aca="false">前提条件!$C$74/12</f>
        <v>7500</v>
      </c>
      <c r="J74" s="63" t="n">
        <f aca="false">F74+G74-H74-I74</f>
        <v>248591</v>
      </c>
      <c r="K74" s="63" t="n">
        <f aca="false">K73+J74</f>
        <v>16341679</v>
      </c>
      <c r="L74" s="63" t="n">
        <f aca="false">MAX(前提条件!$C$8-K74,0)</f>
        <v>0</v>
      </c>
      <c r="M74" s="62" t="n">
        <f aca="false">前提条件!$C$10</f>
        <v>37500</v>
      </c>
      <c r="N74" s="63" t="n">
        <f aca="false">J74-M74</f>
        <v>211091</v>
      </c>
      <c r="O74" s="63" t="n">
        <f aca="false">O73+N74</f>
        <v>13829179</v>
      </c>
      <c r="P74" s="63" t="n">
        <f aca="false">前提条件!$C$8-SUM(M$8:M74)</f>
        <v>1987500</v>
      </c>
      <c r="Q74" s="64" t="str">
        <f aca="false">IF(AND(K74&gt;=前提条件!$C$8,K73&lt;前提条件!$C$8),"◀投資回収","")</f>
        <v/>
      </c>
    </row>
    <row r="75" customFormat="false" ht="15" hidden="false" customHeight="false" outlineLevel="0" collapsed="false">
      <c r="A75" s="57" t="n">
        <v>68</v>
      </c>
      <c r="B75" s="58" t="n">
        <f aca="false">EDATE(前提条件!$C$11,A75-1)</f>
        <v>48458</v>
      </c>
      <c r="C75" s="59" t="n">
        <f aca="false">YEAR(B75)+IF(MONTH(B75)&gt;=7,1,0)-2027+48</f>
        <v>54</v>
      </c>
      <c r="D75" s="60" t="n">
        <f aca="false">前提条件!$C$26/365*DAY(EOMONTH(B75,0))</f>
        <v>30</v>
      </c>
      <c r="E75" s="61" t="n">
        <v>1</v>
      </c>
      <c r="F75" s="62" t="n">
        <f aca="false">前提条件!$C$64*D75*E75</f>
        <v>251250</v>
      </c>
      <c r="G75" s="62" t="n">
        <f aca="false">前提条件!$C$65*D75*E75</f>
        <v>2880</v>
      </c>
      <c r="H75" s="62" t="n">
        <f aca="false">(前提条件!$C$66+前提条件!$C$67)*D75</f>
        <v>6300</v>
      </c>
      <c r="I75" s="62" t="n">
        <f aca="false">前提条件!$C$74/12</f>
        <v>7500</v>
      </c>
      <c r="J75" s="63" t="n">
        <f aca="false">F75+G75-H75-I75</f>
        <v>240330</v>
      </c>
      <c r="K75" s="63" t="n">
        <f aca="false">K74+J75</f>
        <v>16582009</v>
      </c>
      <c r="L75" s="63" t="n">
        <f aca="false">MAX(前提条件!$C$8-K75,0)</f>
        <v>0</v>
      </c>
      <c r="M75" s="62" t="n">
        <f aca="false">前提条件!$C$10</f>
        <v>37500</v>
      </c>
      <c r="N75" s="63" t="n">
        <f aca="false">J75-M75</f>
        <v>202830</v>
      </c>
      <c r="O75" s="63" t="n">
        <f aca="false">O74+N75</f>
        <v>14032009</v>
      </c>
      <c r="P75" s="63" t="n">
        <f aca="false">前提条件!$C$8-SUM(M$8:M75)</f>
        <v>1950000</v>
      </c>
      <c r="Q75" s="64" t="str">
        <f aca="false">IF(AND(K75&gt;=前提条件!$C$8,K74&lt;前提条件!$C$8),"◀投資回収","")</f>
        <v/>
      </c>
    </row>
    <row r="76" customFormat="false" ht="15" hidden="false" customHeight="false" outlineLevel="0" collapsed="false">
      <c r="A76" s="57" t="n">
        <v>69</v>
      </c>
      <c r="B76" s="58" t="n">
        <f aca="false">EDATE(前提条件!$C$11,A76-1)</f>
        <v>48488</v>
      </c>
      <c r="C76" s="59" t="n">
        <f aca="false">YEAR(B76)+IF(MONTH(B76)&gt;=7,1,0)-2027+48</f>
        <v>54</v>
      </c>
      <c r="D76" s="60" t="n">
        <f aca="false">前提条件!$C$26/365*DAY(EOMONTH(B76,0))</f>
        <v>31</v>
      </c>
      <c r="E76" s="61" t="n">
        <v>1</v>
      </c>
      <c r="F76" s="62" t="n">
        <f aca="false">前提条件!$C$64*D76*E76</f>
        <v>259625</v>
      </c>
      <c r="G76" s="62" t="n">
        <f aca="false">前提条件!$C$65*D76*E76</f>
        <v>2976</v>
      </c>
      <c r="H76" s="62" t="n">
        <f aca="false">(前提条件!$C$66+前提条件!$C$67)*D76</f>
        <v>6510</v>
      </c>
      <c r="I76" s="62" t="n">
        <f aca="false">前提条件!$C$74/12</f>
        <v>7500</v>
      </c>
      <c r="J76" s="63" t="n">
        <f aca="false">F76+G76-H76-I76</f>
        <v>248591</v>
      </c>
      <c r="K76" s="63" t="n">
        <f aca="false">K75+J76</f>
        <v>16830600</v>
      </c>
      <c r="L76" s="63" t="n">
        <f aca="false">MAX(前提条件!$C$8-K76,0)</f>
        <v>0</v>
      </c>
      <c r="M76" s="62" t="n">
        <f aca="false">前提条件!$C$10</f>
        <v>37500</v>
      </c>
      <c r="N76" s="63" t="n">
        <f aca="false">J76-M76</f>
        <v>211091</v>
      </c>
      <c r="O76" s="63" t="n">
        <f aca="false">O75+N76</f>
        <v>14243100</v>
      </c>
      <c r="P76" s="63" t="n">
        <f aca="false">前提条件!$C$8-SUM(M$8:M76)</f>
        <v>1912500</v>
      </c>
      <c r="Q76" s="64" t="str">
        <f aca="false">IF(AND(K76&gt;=前提条件!$C$8,K75&lt;前提条件!$C$8),"◀投資回収","")</f>
        <v/>
      </c>
    </row>
    <row r="77" customFormat="false" ht="15" hidden="false" customHeight="false" outlineLevel="0" collapsed="false">
      <c r="A77" s="57" t="n">
        <v>70</v>
      </c>
      <c r="B77" s="58" t="n">
        <f aca="false">EDATE(前提条件!$C$11,A77-1)</f>
        <v>48519</v>
      </c>
      <c r="C77" s="59" t="n">
        <f aca="false">YEAR(B77)+IF(MONTH(B77)&gt;=7,1,0)-2027+48</f>
        <v>54</v>
      </c>
      <c r="D77" s="60" t="n">
        <f aca="false">前提条件!$C$26/365*DAY(EOMONTH(B77,0))</f>
        <v>30</v>
      </c>
      <c r="E77" s="61" t="n">
        <v>1</v>
      </c>
      <c r="F77" s="62" t="n">
        <f aca="false">前提条件!$C$64*D77*E77</f>
        <v>251250</v>
      </c>
      <c r="G77" s="62" t="n">
        <f aca="false">前提条件!$C$65*D77*E77</f>
        <v>2880</v>
      </c>
      <c r="H77" s="62" t="n">
        <f aca="false">(前提条件!$C$66+前提条件!$C$67)*D77</f>
        <v>6300</v>
      </c>
      <c r="I77" s="62" t="n">
        <f aca="false">前提条件!$C$74/12</f>
        <v>7500</v>
      </c>
      <c r="J77" s="63" t="n">
        <f aca="false">F77+G77-H77-I77</f>
        <v>240330</v>
      </c>
      <c r="K77" s="63" t="n">
        <f aca="false">K76+J77</f>
        <v>17070930</v>
      </c>
      <c r="L77" s="63" t="n">
        <f aca="false">MAX(前提条件!$C$8-K77,0)</f>
        <v>0</v>
      </c>
      <c r="M77" s="62" t="n">
        <f aca="false">前提条件!$C$10</f>
        <v>37500</v>
      </c>
      <c r="N77" s="63" t="n">
        <f aca="false">J77-M77</f>
        <v>202830</v>
      </c>
      <c r="O77" s="63" t="n">
        <f aca="false">O76+N77</f>
        <v>14445930</v>
      </c>
      <c r="P77" s="63" t="n">
        <f aca="false">前提条件!$C$8-SUM(M$8:M77)</f>
        <v>1875000</v>
      </c>
      <c r="Q77" s="64" t="str">
        <f aca="false">IF(AND(K77&gt;=前提条件!$C$8,K76&lt;前提条件!$C$8),"◀投資回収","")</f>
        <v/>
      </c>
    </row>
    <row r="78" customFormat="false" ht="15" hidden="false" customHeight="false" outlineLevel="0" collapsed="false">
      <c r="A78" s="57" t="n">
        <v>71</v>
      </c>
      <c r="B78" s="58" t="n">
        <f aca="false">EDATE(前提条件!$C$11,A78-1)</f>
        <v>48549</v>
      </c>
      <c r="C78" s="59" t="n">
        <f aca="false">YEAR(B78)+IF(MONTH(B78)&gt;=7,1,0)-2027+48</f>
        <v>54</v>
      </c>
      <c r="D78" s="60" t="n">
        <f aca="false">前提条件!$C$26/365*DAY(EOMONTH(B78,0))</f>
        <v>31</v>
      </c>
      <c r="E78" s="61" t="n">
        <v>1</v>
      </c>
      <c r="F78" s="62" t="n">
        <f aca="false">前提条件!$C$64*D78*E78</f>
        <v>259625</v>
      </c>
      <c r="G78" s="62" t="n">
        <f aca="false">前提条件!$C$65*D78*E78</f>
        <v>2976</v>
      </c>
      <c r="H78" s="62" t="n">
        <f aca="false">(前提条件!$C$66+前提条件!$C$67)*D78</f>
        <v>6510</v>
      </c>
      <c r="I78" s="62" t="n">
        <f aca="false">前提条件!$C$74/12</f>
        <v>7500</v>
      </c>
      <c r="J78" s="63" t="n">
        <f aca="false">F78+G78-H78-I78</f>
        <v>248591</v>
      </c>
      <c r="K78" s="63" t="n">
        <f aca="false">K77+J78</f>
        <v>17319521</v>
      </c>
      <c r="L78" s="63" t="n">
        <f aca="false">MAX(前提条件!$C$8-K78,0)</f>
        <v>0</v>
      </c>
      <c r="M78" s="62" t="n">
        <f aca="false">前提条件!$C$10</f>
        <v>37500</v>
      </c>
      <c r="N78" s="63" t="n">
        <f aca="false">J78-M78</f>
        <v>211091</v>
      </c>
      <c r="O78" s="63" t="n">
        <f aca="false">O77+N78</f>
        <v>14657021</v>
      </c>
      <c r="P78" s="63" t="n">
        <f aca="false">前提条件!$C$8-SUM(M$8:M78)</f>
        <v>1837500</v>
      </c>
      <c r="Q78" s="64" t="str">
        <f aca="false">IF(AND(K78&gt;=前提条件!$C$8,K77&lt;前提条件!$C$8),"◀投資回収","")</f>
        <v/>
      </c>
    </row>
    <row r="79" customFormat="false" ht="15" hidden="false" customHeight="false" outlineLevel="0" collapsed="false">
      <c r="A79" s="57" t="n">
        <v>72</v>
      </c>
      <c r="B79" s="58" t="n">
        <f aca="false">EDATE(前提条件!$C$11,A79-1)</f>
        <v>48580</v>
      </c>
      <c r="C79" s="59" t="n">
        <f aca="false">YEAR(B79)+IF(MONTH(B79)&gt;=7,1,0)-2027+48</f>
        <v>54</v>
      </c>
      <c r="D79" s="60" t="n">
        <f aca="false">前提条件!$C$26/365*DAY(EOMONTH(B79,0))</f>
        <v>31</v>
      </c>
      <c r="E79" s="61" t="n">
        <v>1</v>
      </c>
      <c r="F79" s="62" t="n">
        <f aca="false">前提条件!$C$64*D79*E79</f>
        <v>259625</v>
      </c>
      <c r="G79" s="62" t="n">
        <f aca="false">前提条件!$C$65*D79*E79</f>
        <v>2976</v>
      </c>
      <c r="H79" s="62" t="n">
        <f aca="false">(前提条件!$C$66+前提条件!$C$67)*D79</f>
        <v>6510</v>
      </c>
      <c r="I79" s="62" t="n">
        <f aca="false">前提条件!$C$74/12</f>
        <v>7500</v>
      </c>
      <c r="J79" s="63" t="n">
        <f aca="false">F79+G79-H79-I79</f>
        <v>248591</v>
      </c>
      <c r="K79" s="63" t="n">
        <f aca="false">K78+J79</f>
        <v>17568112</v>
      </c>
      <c r="L79" s="63" t="n">
        <f aca="false">MAX(前提条件!$C$8-K79,0)</f>
        <v>0</v>
      </c>
      <c r="M79" s="62" t="n">
        <f aca="false">前提条件!$C$10</f>
        <v>37500</v>
      </c>
      <c r="N79" s="63" t="n">
        <f aca="false">J79-M79</f>
        <v>211091</v>
      </c>
      <c r="O79" s="63" t="n">
        <f aca="false">O78+N79</f>
        <v>14868112</v>
      </c>
      <c r="P79" s="63" t="n">
        <f aca="false">前提条件!$C$8-SUM(M$8:M79)</f>
        <v>1800000</v>
      </c>
      <c r="Q79" s="64" t="str">
        <f aca="false">IF(AND(K79&gt;=前提条件!$C$8,K78&lt;前提条件!$C$8),"◀投資回収","")</f>
        <v/>
      </c>
    </row>
    <row r="80" customFormat="false" ht="15" hidden="false" customHeight="false" outlineLevel="0" collapsed="false">
      <c r="A80" s="57" t="n">
        <v>73</v>
      </c>
      <c r="B80" s="58" t="n">
        <f aca="false">EDATE(前提条件!$C$11,A80-1)</f>
        <v>48611</v>
      </c>
      <c r="C80" s="59" t="n">
        <f aca="false">YEAR(B80)+IF(MONTH(B80)&gt;=7,1,0)-2027+48</f>
        <v>54</v>
      </c>
      <c r="D80" s="60" t="n">
        <f aca="false">前提条件!$C$26/365*DAY(EOMONTH(B80,0))</f>
        <v>28</v>
      </c>
      <c r="E80" s="61" t="n">
        <v>1</v>
      </c>
      <c r="F80" s="62" t="n">
        <f aca="false">前提条件!$C$64*D80*E80</f>
        <v>234500</v>
      </c>
      <c r="G80" s="62" t="n">
        <f aca="false">前提条件!$C$65*D80*E80</f>
        <v>2688</v>
      </c>
      <c r="H80" s="62" t="n">
        <f aca="false">(前提条件!$C$66+前提条件!$C$67)*D80</f>
        <v>5880</v>
      </c>
      <c r="I80" s="62" t="n">
        <f aca="false">前提条件!$C$74/12</f>
        <v>7500</v>
      </c>
      <c r="J80" s="63" t="n">
        <f aca="false">F80+G80-H80-I80</f>
        <v>223808</v>
      </c>
      <c r="K80" s="63" t="n">
        <f aca="false">K79+J80</f>
        <v>17791920</v>
      </c>
      <c r="L80" s="63" t="n">
        <f aca="false">MAX(前提条件!$C$8-K80,0)</f>
        <v>0</v>
      </c>
      <c r="M80" s="62" t="n">
        <f aca="false">前提条件!$C$10</f>
        <v>37500</v>
      </c>
      <c r="N80" s="63" t="n">
        <f aca="false">J80-M80</f>
        <v>186308</v>
      </c>
      <c r="O80" s="63" t="n">
        <f aca="false">O79+N80</f>
        <v>15054420</v>
      </c>
      <c r="P80" s="63" t="n">
        <f aca="false">前提条件!$C$8-SUM(M$8:M80)</f>
        <v>1762500</v>
      </c>
      <c r="Q80" s="64" t="str">
        <f aca="false">IF(AND(K80&gt;=前提条件!$C$8,K79&lt;前提条件!$C$8),"◀投資回収","")</f>
        <v/>
      </c>
    </row>
    <row r="81" customFormat="false" ht="15" hidden="false" customHeight="false" outlineLevel="0" collapsed="false">
      <c r="A81" s="57" t="n">
        <v>74</v>
      </c>
      <c r="B81" s="58" t="n">
        <f aca="false">EDATE(前提条件!$C$11,A81-1)</f>
        <v>48639</v>
      </c>
      <c r="C81" s="59" t="n">
        <f aca="false">YEAR(B81)+IF(MONTH(B81)&gt;=7,1,0)-2027+48</f>
        <v>54</v>
      </c>
      <c r="D81" s="60" t="n">
        <f aca="false">前提条件!$C$26/365*DAY(EOMONTH(B81,0))</f>
        <v>31</v>
      </c>
      <c r="E81" s="61" t="n">
        <v>1</v>
      </c>
      <c r="F81" s="62" t="n">
        <f aca="false">前提条件!$C$64*D81*E81</f>
        <v>259625</v>
      </c>
      <c r="G81" s="62" t="n">
        <f aca="false">前提条件!$C$65*D81*E81</f>
        <v>2976</v>
      </c>
      <c r="H81" s="62" t="n">
        <f aca="false">(前提条件!$C$66+前提条件!$C$67)*D81</f>
        <v>6510</v>
      </c>
      <c r="I81" s="62" t="n">
        <f aca="false">前提条件!$C$74/12</f>
        <v>7500</v>
      </c>
      <c r="J81" s="63" t="n">
        <f aca="false">F81+G81-H81-I81</f>
        <v>248591</v>
      </c>
      <c r="K81" s="63" t="n">
        <f aca="false">K80+J81</f>
        <v>18040511</v>
      </c>
      <c r="L81" s="63" t="n">
        <f aca="false">MAX(前提条件!$C$8-K81,0)</f>
        <v>0</v>
      </c>
      <c r="M81" s="62" t="n">
        <f aca="false">前提条件!$C$10</f>
        <v>37500</v>
      </c>
      <c r="N81" s="63" t="n">
        <f aca="false">J81-M81</f>
        <v>211091</v>
      </c>
      <c r="O81" s="63" t="n">
        <f aca="false">O80+N81</f>
        <v>15265511</v>
      </c>
      <c r="P81" s="63" t="n">
        <f aca="false">前提条件!$C$8-SUM(M$8:M81)</f>
        <v>1725000</v>
      </c>
      <c r="Q81" s="64" t="str">
        <f aca="false">IF(AND(K81&gt;=前提条件!$C$8,K80&lt;前提条件!$C$8),"◀投資回収","")</f>
        <v/>
      </c>
    </row>
    <row r="82" customFormat="false" ht="15" hidden="false" customHeight="false" outlineLevel="0" collapsed="false">
      <c r="A82" s="57" t="n">
        <v>75</v>
      </c>
      <c r="B82" s="58" t="n">
        <f aca="false">EDATE(前提条件!$C$11,A82-1)</f>
        <v>48670</v>
      </c>
      <c r="C82" s="59" t="n">
        <f aca="false">YEAR(B82)+IF(MONTH(B82)&gt;=7,1,0)-2027+48</f>
        <v>54</v>
      </c>
      <c r="D82" s="60" t="n">
        <f aca="false">前提条件!$C$26/365*DAY(EOMONTH(B82,0))</f>
        <v>30</v>
      </c>
      <c r="E82" s="61" t="n">
        <v>1</v>
      </c>
      <c r="F82" s="62" t="n">
        <f aca="false">前提条件!$C$64*D82*E82</f>
        <v>251250</v>
      </c>
      <c r="G82" s="62" t="n">
        <f aca="false">前提条件!$C$65*D82*E82</f>
        <v>2880</v>
      </c>
      <c r="H82" s="62" t="n">
        <f aca="false">(前提条件!$C$66+前提条件!$C$67)*D82</f>
        <v>6300</v>
      </c>
      <c r="I82" s="62" t="n">
        <f aca="false">前提条件!$C$74/12</f>
        <v>7500</v>
      </c>
      <c r="J82" s="63" t="n">
        <f aca="false">F82+G82-H82-I82</f>
        <v>240330</v>
      </c>
      <c r="K82" s="63" t="n">
        <f aca="false">K81+J82</f>
        <v>18280841</v>
      </c>
      <c r="L82" s="63" t="n">
        <f aca="false">MAX(前提条件!$C$8-K82,0)</f>
        <v>0</v>
      </c>
      <c r="M82" s="62" t="n">
        <f aca="false">前提条件!$C$10</f>
        <v>37500</v>
      </c>
      <c r="N82" s="63" t="n">
        <f aca="false">J82-M82</f>
        <v>202830</v>
      </c>
      <c r="O82" s="63" t="n">
        <f aca="false">O81+N82</f>
        <v>15468341</v>
      </c>
      <c r="P82" s="63" t="n">
        <f aca="false">前提条件!$C$8-SUM(M$8:M82)</f>
        <v>1687500</v>
      </c>
      <c r="Q82" s="64" t="str">
        <f aca="false">IF(AND(K82&gt;=前提条件!$C$8,K81&lt;前提条件!$C$8),"◀投資回収","")</f>
        <v/>
      </c>
    </row>
    <row r="83" customFormat="false" ht="15" hidden="false" customHeight="false" outlineLevel="0" collapsed="false">
      <c r="A83" s="57" t="n">
        <v>76</v>
      </c>
      <c r="B83" s="58" t="n">
        <f aca="false">EDATE(前提条件!$C$11,A83-1)</f>
        <v>48700</v>
      </c>
      <c r="C83" s="59" t="n">
        <f aca="false">YEAR(B83)+IF(MONTH(B83)&gt;=7,1,0)-2027+48</f>
        <v>54</v>
      </c>
      <c r="D83" s="60" t="n">
        <f aca="false">前提条件!$C$26/365*DAY(EOMONTH(B83,0))</f>
        <v>31</v>
      </c>
      <c r="E83" s="61" t="n">
        <v>1</v>
      </c>
      <c r="F83" s="62" t="n">
        <f aca="false">前提条件!$C$64*D83*E83</f>
        <v>259625</v>
      </c>
      <c r="G83" s="62" t="n">
        <f aca="false">前提条件!$C$65*D83*E83</f>
        <v>2976</v>
      </c>
      <c r="H83" s="62" t="n">
        <f aca="false">(前提条件!$C$66+前提条件!$C$67)*D83</f>
        <v>6510</v>
      </c>
      <c r="I83" s="62" t="n">
        <f aca="false">前提条件!$C$74/12</f>
        <v>7500</v>
      </c>
      <c r="J83" s="63" t="n">
        <f aca="false">F83+G83-H83-I83</f>
        <v>248591</v>
      </c>
      <c r="K83" s="63" t="n">
        <f aca="false">K82+J83</f>
        <v>18529432</v>
      </c>
      <c r="L83" s="63" t="n">
        <f aca="false">MAX(前提条件!$C$8-K83,0)</f>
        <v>0</v>
      </c>
      <c r="M83" s="62" t="n">
        <f aca="false">前提条件!$C$10</f>
        <v>37500</v>
      </c>
      <c r="N83" s="63" t="n">
        <f aca="false">J83-M83</f>
        <v>211091</v>
      </c>
      <c r="O83" s="63" t="n">
        <f aca="false">O82+N83</f>
        <v>15679432</v>
      </c>
      <c r="P83" s="63" t="n">
        <f aca="false">前提条件!$C$8-SUM(M$8:M83)</f>
        <v>1650000</v>
      </c>
      <c r="Q83" s="64" t="str">
        <f aca="false">IF(AND(K83&gt;=前提条件!$C$8,K82&lt;前提条件!$C$8),"◀投資回収","")</f>
        <v/>
      </c>
    </row>
    <row r="84" customFormat="false" ht="15" hidden="false" customHeight="false" outlineLevel="0" collapsed="false">
      <c r="A84" s="57" t="n">
        <v>77</v>
      </c>
      <c r="B84" s="58" t="n">
        <f aca="false">EDATE(前提条件!$C$11,A84-1)</f>
        <v>48731</v>
      </c>
      <c r="C84" s="59" t="n">
        <f aca="false">YEAR(B84)+IF(MONTH(B84)&gt;=7,1,0)-2027+48</f>
        <v>54</v>
      </c>
      <c r="D84" s="60" t="n">
        <f aca="false">前提条件!$C$26/365*DAY(EOMONTH(B84,0))</f>
        <v>30</v>
      </c>
      <c r="E84" s="61" t="n">
        <v>1</v>
      </c>
      <c r="F84" s="62" t="n">
        <f aca="false">前提条件!$C$64*D84*E84</f>
        <v>251250</v>
      </c>
      <c r="G84" s="62" t="n">
        <f aca="false">前提条件!$C$65*D84*E84</f>
        <v>2880</v>
      </c>
      <c r="H84" s="62" t="n">
        <f aca="false">(前提条件!$C$66+前提条件!$C$67)*D84</f>
        <v>6300</v>
      </c>
      <c r="I84" s="62" t="n">
        <f aca="false">前提条件!$C$74/12</f>
        <v>7500</v>
      </c>
      <c r="J84" s="63" t="n">
        <f aca="false">F84+G84-H84-I84</f>
        <v>240330</v>
      </c>
      <c r="K84" s="63" t="n">
        <f aca="false">K83+J84</f>
        <v>18769762</v>
      </c>
      <c r="L84" s="63" t="n">
        <f aca="false">MAX(前提条件!$C$8-K84,0)</f>
        <v>0</v>
      </c>
      <c r="M84" s="62" t="n">
        <f aca="false">前提条件!$C$10</f>
        <v>37500</v>
      </c>
      <c r="N84" s="63" t="n">
        <f aca="false">J84-M84</f>
        <v>202830</v>
      </c>
      <c r="O84" s="63" t="n">
        <f aca="false">O83+N84</f>
        <v>15882262</v>
      </c>
      <c r="P84" s="63" t="n">
        <f aca="false">前提条件!$C$8-SUM(M$8:M84)</f>
        <v>1612500</v>
      </c>
      <c r="Q84" s="64" t="str">
        <f aca="false">IF(AND(K84&gt;=前提条件!$C$8,K83&lt;前提条件!$C$8),"◀投資回収","")</f>
        <v/>
      </c>
    </row>
    <row r="85" customFormat="false" ht="15" hidden="false" customHeight="false" outlineLevel="0" collapsed="false">
      <c r="A85" s="57" t="n">
        <v>78</v>
      </c>
      <c r="B85" s="58" t="n">
        <f aca="false">EDATE(前提条件!$C$11,A85-1)</f>
        <v>48761</v>
      </c>
      <c r="C85" s="59" t="n">
        <f aca="false">YEAR(B85)+IF(MONTH(B85)&gt;=7,1,0)-2027+48</f>
        <v>55</v>
      </c>
      <c r="D85" s="60" t="n">
        <f aca="false">前提条件!$C$26/365*DAY(EOMONTH(B85,0))</f>
        <v>31</v>
      </c>
      <c r="E85" s="61" t="n">
        <v>1</v>
      </c>
      <c r="F85" s="62" t="n">
        <f aca="false">前提条件!$C$64*D85*E85</f>
        <v>259625</v>
      </c>
      <c r="G85" s="62" t="n">
        <f aca="false">前提条件!$C$65*D85*E85</f>
        <v>2976</v>
      </c>
      <c r="H85" s="62" t="n">
        <f aca="false">(前提条件!$C$66+前提条件!$C$67)*D85</f>
        <v>6510</v>
      </c>
      <c r="I85" s="62" t="n">
        <f aca="false">前提条件!$C$74/12</f>
        <v>7500</v>
      </c>
      <c r="J85" s="63" t="n">
        <f aca="false">F85+G85-H85-I85</f>
        <v>248591</v>
      </c>
      <c r="K85" s="63" t="n">
        <f aca="false">K84+J85</f>
        <v>19018353</v>
      </c>
      <c r="L85" s="63" t="n">
        <f aca="false">MAX(前提条件!$C$8-K85,0)</f>
        <v>0</v>
      </c>
      <c r="M85" s="62" t="n">
        <f aca="false">前提条件!$C$10</f>
        <v>37500</v>
      </c>
      <c r="N85" s="63" t="n">
        <f aca="false">J85-M85</f>
        <v>211091</v>
      </c>
      <c r="O85" s="63" t="n">
        <f aca="false">O84+N85</f>
        <v>16093353</v>
      </c>
      <c r="P85" s="63" t="n">
        <f aca="false">前提条件!$C$8-SUM(M$8:M85)</f>
        <v>1575000</v>
      </c>
      <c r="Q85" s="64" t="str">
        <f aca="false">IF(AND(K85&gt;=前提条件!$C$8,K84&lt;前提条件!$C$8),"◀投資回収","")</f>
        <v/>
      </c>
    </row>
    <row r="86" customFormat="false" ht="15" hidden="false" customHeight="false" outlineLevel="0" collapsed="false">
      <c r="A86" s="57" t="n">
        <v>79</v>
      </c>
      <c r="B86" s="58" t="n">
        <f aca="false">EDATE(前提条件!$C$11,A86-1)</f>
        <v>48792</v>
      </c>
      <c r="C86" s="59" t="n">
        <f aca="false">YEAR(B86)+IF(MONTH(B86)&gt;=7,1,0)-2027+48</f>
        <v>55</v>
      </c>
      <c r="D86" s="60" t="n">
        <f aca="false">前提条件!$C$26/365*DAY(EOMONTH(B86,0))</f>
        <v>31</v>
      </c>
      <c r="E86" s="61" t="n">
        <v>1</v>
      </c>
      <c r="F86" s="62" t="n">
        <f aca="false">前提条件!$C$64*D86*E86</f>
        <v>259625</v>
      </c>
      <c r="G86" s="62" t="n">
        <f aca="false">前提条件!$C$65*D86*E86</f>
        <v>2976</v>
      </c>
      <c r="H86" s="62" t="n">
        <f aca="false">(前提条件!$C$66+前提条件!$C$67)*D86</f>
        <v>6510</v>
      </c>
      <c r="I86" s="62" t="n">
        <f aca="false">前提条件!$C$74/12</f>
        <v>7500</v>
      </c>
      <c r="J86" s="63" t="n">
        <f aca="false">F86+G86-H86-I86</f>
        <v>248591</v>
      </c>
      <c r="K86" s="63" t="n">
        <f aca="false">K85+J86</f>
        <v>19266944</v>
      </c>
      <c r="L86" s="63" t="n">
        <f aca="false">MAX(前提条件!$C$8-K86,0)</f>
        <v>0</v>
      </c>
      <c r="M86" s="62" t="n">
        <f aca="false">前提条件!$C$10</f>
        <v>37500</v>
      </c>
      <c r="N86" s="63" t="n">
        <f aca="false">J86-M86</f>
        <v>211091</v>
      </c>
      <c r="O86" s="63" t="n">
        <f aca="false">O85+N86</f>
        <v>16304444</v>
      </c>
      <c r="P86" s="63" t="n">
        <f aca="false">前提条件!$C$8-SUM(M$8:M86)</f>
        <v>1537500</v>
      </c>
      <c r="Q86" s="64" t="str">
        <f aca="false">IF(AND(K86&gt;=前提条件!$C$8,K85&lt;前提条件!$C$8),"◀投資回収","")</f>
        <v/>
      </c>
    </row>
    <row r="87" customFormat="false" ht="15" hidden="false" customHeight="false" outlineLevel="0" collapsed="false">
      <c r="A87" s="57" t="n">
        <v>80</v>
      </c>
      <c r="B87" s="58" t="n">
        <f aca="false">EDATE(前提条件!$C$11,A87-1)</f>
        <v>48823</v>
      </c>
      <c r="C87" s="59" t="n">
        <f aca="false">YEAR(B87)+IF(MONTH(B87)&gt;=7,1,0)-2027+48</f>
        <v>55</v>
      </c>
      <c r="D87" s="60" t="n">
        <f aca="false">前提条件!$C$26/365*DAY(EOMONTH(B87,0))</f>
        <v>30</v>
      </c>
      <c r="E87" s="61" t="n">
        <v>1</v>
      </c>
      <c r="F87" s="62" t="n">
        <f aca="false">前提条件!$C$64*D87*E87</f>
        <v>251250</v>
      </c>
      <c r="G87" s="62" t="n">
        <f aca="false">前提条件!$C$65*D87*E87</f>
        <v>2880</v>
      </c>
      <c r="H87" s="62" t="n">
        <f aca="false">(前提条件!$C$66+前提条件!$C$67)*D87</f>
        <v>6300</v>
      </c>
      <c r="I87" s="62" t="n">
        <f aca="false">前提条件!$C$74/12</f>
        <v>7500</v>
      </c>
      <c r="J87" s="63" t="n">
        <f aca="false">F87+G87-H87-I87</f>
        <v>240330</v>
      </c>
      <c r="K87" s="63" t="n">
        <f aca="false">K86+J87</f>
        <v>19507274</v>
      </c>
      <c r="L87" s="63" t="n">
        <f aca="false">MAX(前提条件!$C$8-K87,0)</f>
        <v>0</v>
      </c>
      <c r="M87" s="62" t="n">
        <f aca="false">前提条件!$C$10</f>
        <v>37500</v>
      </c>
      <c r="N87" s="63" t="n">
        <f aca="false">J87-M87</f>
        <v>202830</v>
      </c>
      <c r="O87" s="63" t="n">
        <f aca="false">O86+N87</f>
        <v>16507274</v>
      </c>
      <c r="P87" s="63" t="n">
        <f aca="false">前提条件!$C$8-SUM(M$8:M87)</f>
        <v>1500000</v>
      </c>
      <c r="Q87" s="64" t="str">
        <f aca="false">IF(AND(K87&gt;=前提条件!$C$8,K86&lt;前提条件!$C$8),"◀投資回収","")</f>
        <v/>
      </c>
    </row>
    <row r="88" customFormat="false" ht="15" hidden="false" customHeight="false" outlineLevel="0" collapsed="false">
      <c r="A88" s="57" t="n">
        <v>81</v>
      </c>
      <c r="B88" s="58" t="n">
        <f aca="false">EDATE(前提条件!$C$11,A88-1)</f>
        <v>48853</v>
      </c>
      <c r="C88" s="59" t="n">
        <f aca="false">YEAR(B88)+IF(MONTH(B88)&gt;=7,1,0)-2027+48</f>
        <v>55</v>
      </c>
      <c r="D88" s="60" t="n">
        <f aca="false">前提条件!$C$26/365*DAY(EOMONTH(B88,0))</f>
        <v>31</v>
      </c>
      <c r="E88" s="61" t="n">
        <v>1</v>
      </c>
      <c r="F88" s="62" t="n">
        <f aca="false">前提条件!$C$64*D88*E88</f>
        <v>259625</v>
      </c>
      <c r="G88" s="62" t="n">
        <f aca="false">前提条件!$C$65*D88*E88</f>
        <v>2976</v>
      </c>
      <c r="H88" s="62" t="n">
        <f aca="false">(前提条件!$C$66+前提条件!$C$67)*D88</f>
        <v>6510</v>
      </c>
      <c r="I88" s="62" t="n">
        <f aca="false">前提条件!$C$74/12</f>
        <v>7500</v>
      </c>
      <c r="J88" s="63" t="n">
        <f aca="false">F88+G88-H88-I88</f>
        <v>248591</v>
      </c>
      <c r="K88" s="63" t="n">
        <f aca="false">K87+J88</f>
        <v>19755865</v>
      </c>
      <c r="L88" s="63" t="n">
        <f aca="false">MAX(前提条件!$C$8-K88,0)</f>
        <v>0</v>
      </c>
      <c r="M88" s="62" t="n">
        <f aca="false">前提条件!$C$10</f>
        <v>37500</v>
      </c>
      <c r="N88" s="63" t="n">
        <f aca="false">J88-M88</f>
        <v>211091</v>
      </c>
      <c r="O88" s="63" t="n">
        <f aca="false">O87+N88</f>
        <v>16718365</v>
      </c>
      <c r="P88" s="63" t="n">
        <f aca="false">前提条件!$C$8-SUM(M$8:M88)</f>
        <v>1462500</v>
      </c>
      <c r="Q88" s="64" t="str">
        <f aca="false">IF(AND(K88&gt;=前提条件!$C$8,K87&lt;前提条件!$C$8),"◀投資回収","")</f>
        <v/>
      </c>
    </row>
    <row r="89" customFormat="false" ht="15" hidden="false" customHeight="false" outlineLevel="0" collapsed="false">
      <c r="A89" s="57" t="n">
        <v>82</v>
      </c>
      <c r="B89" s="58" t="n">
        <f aca="false">EDATE(前提条件!$C$11,A89-1)</f>
        <v>48884</v>
      </c>
      <c r="C89" s="59" t="n">
        <f aca="false">YEAR(B89)+IF(MONTH(B89)&gt;=7,1,0)-2027+48</f>
        <v>55</v>
      </c>
      <c r="D89" s="60" t="n">
        <f aca="false">前提条件!$C$26/365*DAY(EOMONTH(B89,0))</f>
        <v>30</v>
      </c>
      <c r="E89" s="61" t="n">
        <v>1</v>
      </c>
      <c r="F89" s="62" t="n">
        <f aca="false">前提条件!$C$64*D89*E89</f>
        <v>251250</v>
      </c>
      <c r="G89" s="62" t="n">
        <f aca="false">前提条件!$C$65*D89*E89</f>
        <v>2880</v>
      </c>
      <c r="H89" s="62" t="n">
        <f aca="false">(前提条件!$C$66+前提条件!$C$67)*D89</f>
        <v>6300</v>
      </c>
      <c r="I89" s="62" t="n">
        <f aca="false">前提条件!$C$74/12</f>
        <v>7500</v>
      </c>
      <c r="J89" s="63" t="n">
        <f aca="false">F89+G89-H89-I89</f>
        <v>240330</v>
      </c>
      <c r="K89" s="63" t="n">
        <f aca="false">K88+J89</f>
        <v>19996195</v>
      </c>
      <c r="L89" s="63" t="n">
        <f aca="false">MAX(前提条件!$C$8-K89,0)</f>
        <v>0</v>
      </c>
      <c r="M89" s="62" t="n">
        <f aca="false">前提条件!$C$10</f>
        <v>37500</v>
      </c>
      <c r="N89" s="63" t="n">
        <f aca="false">J89-M89</f>
        <v>202830</v>
      </c>
      <c r="O89" s="63" t="n">
        <f aca="false">O88+N89</f>
        <v>16921195</v>
      </c>
      <c r="P89" s="63" t="n">
        <f aca="false">前提条件!$C$8-SUM(M$8:M89)</f>
        <v>1425000</v>
      </c>
      <c r="Q89" s="64" t="str">
        <f aca="false">IF(AND(K89&gt;=前提条件!$C$8,K88&lt;前提条件!$C$8),"◀投資回収","")</f>
        <v/>
      </c>
    </row>
    <row r="90" customFormat="false" ht="15" hidden="false" customHeight="false" outlineLevel="0" collapsed="false">
      <c r="A90" s="57" t="n">
        <v>83</v>
      </c>
      <c r="B90" s="58" t="n">
        <f aca="false">EDATE(前提条件!$C$11,A90-1)</f>
        <v>48914</v>
      </c>
      <c r="C90" s="59" t="n">
        <f aca="false">YEAR(B90)+IF(MONTH(B90)&gt;=7,1,0)-2027+48</f>
        <v>55</v>
      </c>
      <c r="D90" s="60" t="n">
        <f aca="false">前提条件!$C$26/365*DAY(EOMONTH(B90,0))</f>
        <v>31</v>
      </c>
      <c r="E90" s="61" t="n">
        <v>1</v>
      </c>
      <c r="F90" s="62" t="n">
        <f aca="false">前提条件!$C$64*D90*E90</f>
        <v>259625</v>
      </c>
      <c r="G90" s="62" t="n">
        <f aca="false">前提条件!$C$65*D90*E90</f>
        <v>2976</v>
      </c>
      <c r="H90" s="62" t="n">
        <f aca="false">(前提条件!$C$66+前提条件!$C$67)*D90</f>
        <v>6510</v>
      </c>
      <c r="I90" s="62" t="n">
        <f aca="false">前提条件!$C$74/12</f>
        <v>7500</v>
      </c>
      <c r="J90" s="63" t="n">
        <f aca="false">F90+G90-H90-I90</f>
        <v>248591</v>
      </c>
      <c r="K90" s="63" t="n">
        <f aca="false">K89+J90</f>
        <v>20244786</v>
      </c>
      <c r="L90" s="63" t="n">
        <f aca="false">MAX(前提条件!$C$8-K90,0)</f>
        <v>0</v>
      </c>
      <c r="M90" s="62" t="n">
        <f aca="false">前提条件!$C$10</f>
        <v>37500</v>
      </c>
      <c r="N90" s="63" t="n">
        <f aca="false">J90-M90</f>
        <v>211091</v>
      </c>
      <c r="O90" s="63" t="n">
        <f aca="false">O89+N90</f>
        <v>17132286</v>
      </c>
      <c r="P90" s="63" t="n">
        <f aca="false">前提条件!$C$8-SUM(M$8:M90)</f>
        <v>1387500</v>
      </c>
      <c r="Q90" s="64" t="str">
        <f aca="false">IF(AND(K90&gt;=前提条件!$C$8,K89&lt;前提条件!$C$8),"◀投資回収","")</f>
        <v/>
      </c>
    </row>
    <row r="91" customFormat="false" ht="15" hidden="false" customHeight="false" outlineLevel="0" collapsed="false">
      <c r="A91" s="57" t="n">
        <v>84</v>
      </c>
      <c r="B91" s="58" t="n">
        <f aca="false">EDATE(前提条件!$C$11,A91-1)</f>
        <v>48945</v>
      </c>
      <c r="C91" s="59" t="n">
        <f aca="false">YEAR(B91)+IF(MONTH(B91)&gt;=7,1,0)-2027+48</f>
        <v>55</v>
      </c>
      <c r="D91" s="60" t="n">
        <f aca="false">前提条件!$C$26/365*DAY(EOMONTH(B91,0))</f>
        <v>31</v>
      </c>
      <c r="E91" s="61" t="n">
        <v>1</v>
      </c>
      <c r="F91" s="62" t="n">
        <f aca="false">前提条件!$C$64*D91*E91</f>
        <v>259625</v>
      </c>
      <c r="G91" s="62" t="n">
        <f aca="false">前提条件!$C$65*D91*E91</f>
        <v>2976</v>
      </c>
      <c r="H91" s="62" t="n">
        <f aca="false">(前提条件!$C$66+前提条件!$C$67)*D91</f>
        <v>6510</v>
      </c>
      <c r="I91" s="62" t="n">
        <f aca="false">前提条件!$C$74/12</f>
        <v>7500</v>
      </c>
      <c r="J91" s="63" t="n">
        <f aca="false">F91+G91-H91-I91</f>
        <v>248591</v>
      </c>
      <c r="K91" s="63" t="n">
        <f aca="false">K90+J91</f>
        <v>20493377</v>
      </c>
      <c r="L91" s="63" t="n">
        <f aca="false">MAX(前提条件!$C$8-K91,0)</f>
        <v>0</v>
      </c>
      <c r="M91" s="62" t="n">
        <f aca="false">前提条件!$C$10</f>
        <v>37500</v>
      </c>
      <c r="N91" s="63" t="n">
        <f aca="false">J91-M91</f>
        <v>211091</v>
      </c>
      <c r="O91" s="63" t="n">
        <f aca="false">O90+N91</f>
        <v>17343377</v>
      </c>
      <c r="P91" s="63" t="n">
        <f aca="false">前提条件!$C$8-SUM(M$8:M91)</f>
        <v>1350000</v>
      </c>
      <c r="Q91" s="64" t="str">
        <f aca="false">IF(AND(K91&gt;=前提条件!$C$8,K90&lt;前提条件!$C$8),"◀投資回収","")</f>
        <v/>
      </c>
    </row>
    <row r="92" customFormat="false" ht="15" hidden="false" customHeight="false" outlineLevel="0" collapsed="false">
      <c r="A92" s="57" t="n">
        <v>85</v>
      </c>
      <c r="B92" s="58" t="n">
        <f aca="false">EDATE(前提条件!$C$11,A92-1)</f>
        <v>48976</v>
      </c>
      <c r="C92" s="59" t="n">
        <f aca="false">YEAR(B92)+IF(MONTH(B92)&gt;=7,1,0)-2027+48</f>
        <v>55</v>
      </c>
      <c r="D92" s="60" t="n">
        <f aca="false">前提条件!$C$26/365*DAY(EOMONTH(B92,0))</f>
        <v>28</v>
      </c>
      <c r="E92" s="61" t="n">
        <v>1</v>
      </c>
      <c r="F92" s="62" t="n">
        <f aca="false">前提条件!$C$64*D92*E92</f>
        <v>234500</v>
      </c>
      <c r="G92" s="62" t="n">
        <f aca="false">前提条件!$C$65*D92*E92</f>
        <v>2688</v>
      </c>
      <c r="H92" s="62" t="n">
        <f aca="false">(前提条件!$C$66+前提条件!$C$67)*D92</f>
        <v>5880</v>
      </c>
      <c r="I92" s="62" t="n">
        <f aca="false">前提条件!$C$74/12</f>
        <v>7500</v>
      </c>
      <c r="J92" s="63" t="n">
        <f aca="false">F92+G92-H92-I92</f>
        <v>223808</v>
      </c>
      <c r="K92" s="63" t="n">
        <f aca="false">K91+J92</f>
        <v>20717185</v>
      </c>
      <c r="L92" s="63" t="n">
        <f aca="false">MAX(前提条件!$C$8-K92,0)</f>
        <v>0</v>
      </c>
      <c r="M92" s="62" t="n">
        <f aca="false">前提条件!$C$10</f>
        <v>37500</v>
      </c>
      <c r="N92" s="63" t="n">
        <f aca="false">J92-M92</f>
        <v>186308</v>
      </c>
      <c r="O92" s="63" t="n">
        <f aca="false">O91+N92</f>
        <v>17529685</v>
      </c>
      <c r="P92" s="63" t="n">
        <f aca="false">前提条件!$C$8-SUM(M$8:M92)</f>
        <v>1312500</v>
      </c>
      <c r="Q92" s="64" t="str">
        <f aca="false">IF(AND(K92&gt;=前提条件!$C$8,K91&lt;前提条件!$C$8),"◀投資回収","")</f>
        <v/>
      </c>
    </row>
    <row r="93" customFormat="false" ht="15" hidden="false" customHeight="false" outlineLevel="0" collapsed="false">
      <c r="A93" s="57" t="n">
        <v>86</v>
      </c>
      <c r="B93" s="58" t="n">
        <f aca="false">EDATE(前提条件!$C$11,A93-1)</f>
        <v>49004</v>
      </c>
      <c r="C93" s="59" t="n">
        <f aca="false">YEAR(B93)+IF(MONTH(B93)&gt;=7,1,0)-2027+48</f>
        <v>55</v>
      </c>
      <c r="D93" s="60" t="n">
        <f aca="false">前提条件!$C$26/365*DAY(EOMONTH(B93,0))</f>
        <v>31</v>
      </c>
      <c r="E93" s="61" t="n">
        <v>1</v>
      </c>
      <c r="F93" s="62" t="n">
        <f aca="false">前提条件!$C$64*D93*E93</f>
        <v>259625</v>
      </c>
      <c r="G93" s="62" t="n">
        <f aca="false">前提条件!$C$65*D93*E93</f>
        <v>2976</v>
      </c>
      <c r="H93" s="62" t="n">
        <f aca="false">(前提条件!$C$66+前提条件!$C$67)*D93</f>
        <v>6510</v>
      </c>
      <c r="I93" s="62" t="n">
        <f aca="false">前提条件!$C$74/12</f>
        <v>7500</v>
      </c>
      <c r="J93" s="63" t="n">
        <f aca="false">F93+G93-H93-I93</f>
        <v>248591</v>
      </c>
      <c r="K93" s="63" t="n">
        <f aca="false">K92+J93</f>
        <v>20965776</v>
      </c>
      <c r="L93" s="63" t="n">
        <f aca="false">MAX(前提条件!$C$8-K93,0)</f>
        <v>0</v>
      </c>
      <c r="M93" s="62" t="n">
        <f aca="false">前提条件!$C$10</f>
        <v>37500</v>
      </c>
      <c r="N93" s="63" t="n">
        <f aca="false">J93-M93</f>
        <v>211091</v>
      </c>
      <c r="O93" s="63" t="n">
        <f aca="false">O92+N93</f>
        <v>17740776</v>
      </c>
      <c r="P93" s="63" t="n">
        <f aca="false">前提条件!$C$8-SUM(M$8:M93)</f>
        <v>1275000</v>
      </c>
      <c r="Q93" s="64" t="str">
        <f aca="false">IF(AND(K93&gt;=前提条件!$C$8,K92&lt;前提条件!$C$8),"◀投資回収","")</f>
        <v/>
      </c>
    </row>
    <row r="94" customFormat="false" ht="15" hidden="false" customHeight="false" outlineLevel="0" collapsed="false">
      <c r="A94" s="57" t="n">
        <v>87</v>
      </c>
      <c r="B94" s="58" t="n">
        <f aca="false">EDATE(前提条件!$C$11,A94-1)</f>
        <v>49035</v>
      </c>
      <c r="C94" s="59" t="n">
        <f aca="false">YEAR(B94)+IF(MONTH(B94)&gt;=7,1,0)-2027+48</f>
        <v>55</v>
      </c>
      <c r="D94" s="60" t="n">
        <f aca="false">前提条件!$C$26/365*DAY(EOMONTH(B94,0))</f>
        <v>30</v>
      </c>
      <c r="E94" s="61" t="n">
        <v>1</v>
      </c>
      <c r="F94" s="62" t="n">
        <f aca="false">前提条件!$C$64*D94*E94</f>
        <v>251250</v>
      </c>
      <c r="G94" s="62" t="n">
        <f aca="false">前提条件!$C$65*D94*E94</f>
        <v>2880</v>
      </c>
      <c r="H94" s="62" t="n">
        <f aca="false">(前提条件!$C$66+前提条件!$C$67)*D94</f>
        <v>6300</v>
      </c>
      <c r="I94" s="62" t="n">
        <f aca="false">前提条件!$C$74/12</f>
        <v>7500</v>
      </c>
      <c r="J94" s="63" t="n">
        <f aca="false">F94+G94-H94-I94</f>
        <v>240330</v>
      </c>
      <c r="K94" s="63" t="n">
        <f aca="false">K93+J94</f>
        <v>21206106</v>
      </c>
      <c r="L94" s="63" t="n">
        <f aca="false">MAX(前提条件!$C$8-K94,0)</f>
        <v>0</v>
      </c>
      <c r="M94" s="62" t="n">
        <f aca="false">前提条件!$C$10</f>
        <v>37500</v>
      </c>
      <c r="N94" s="63" t="n">
        <f aca="false">J94-M94</f>
        <v>202830</v>
      </c>
      <c r="O94" s="63" t="n">
        <f aca="false">O93+N94</f>
        <v>17943606</v>
      </c>
      <c r="P94" s="63" t="n">
        <f aca="false">前提条件!$C$8-SUM(M$8:M94)</f>
        <v>1237500</v>
      </c>
      <c r="Q94" s="64" t="str">
        <f aca="false">IF(AND(K94&gt;=前提条件!$C$8,K93&lt;前提条件!$C$8),"◀投資回収","")</f>
        <v/>
      </c>
    </row>
    <row r="95" customFormat="false" ht="15" hidden="false" customHeight="false" outlineLevel="0" collapsed="false">
      <c r="A95" s="57" t="n">
        <v>88</v>
      </c>
      <c r="B95" s="58" t="n">
        <f aca="false">EDATE(前提条件!$C$11,A95-1)</f>
        <v>49065</v>
      </c>
      <c r="C95" s="59" t="n">
        <f aca="false">YEAR(B95)+IF(MONTH(B95)&gt;=7,1,0)-2027+48</f>
        <v>55</v>
      </c>
      <c r="D95" s="60" t="n">
        <f aca="false">前提条件!$C$26/365*DAY(EOMONTH(B95,0))</f>
        <v>31</v>
      </c>
      <c r="E95" s="61" t="n">
        <v>1</v>
      </c>
      <c r="F95" s="62" t="n">
        <f aca="false">前提条件!$C$64*D95*E95</f>
        <v>259625</v>
      </c>
      <c r="G95" s="62" t="n">
        <f aca="false">前提条件!$C$65*D95*E95</f>
        <v>2976</v>
      </c>
      <c r="H95" s="62" t="n">
        <f aca="false">(前提条件!$C$66+前提条件!$C$67)*D95</f>
        <v>6510</v>
      </c>
      <c r="I95" s="62" t="n">
        <f aca="false">前提条件!$C$74/12</f>
        <v>7500</v>
      </c>
      <c r="J95" s="63" t="n">
        <f aca="false">F95+G95-H95-I95</f>
        <v>248591</v>
      </c>
      <c r="K95" s="63" t="n">
        <f aca="false">K94+J95</f>
        <v>21454697</v>
      </c>
      <c r="L95" s="63" t="n">
        <f aca="false">MAX(前提条件!$C$8-K95,0)</f>
        <v>0</v>
      </c>
      <c r="M95" s="62" t="n">
        <f aca="false">前提条件!$C$10</f>
        <v>37500</v>
      </c>
      <c r="N95" s="63" t="n">
        <f aca="false">J95-M95</f>
        <v>211091</v>
      </c>
      <c r="O95" s="63" t="n">
        <f aca="false">O94+N95</f>
        <v>18154697</v>
      </c>
      <c r="P95" s="63" t="n">
        <f aca="false">前提条件!$C$8-SUM(M$8:M95)</f>
        <v>1200000</v>
      </c>
      <c r="Q95" s="64" t="str">
        <f aca="false">IF(AND(K95&gt;=前提条件!$C$8,K94&lt;前提条件!$C$8),"◀投資回収","")</f>
        <v/>
      </c>
    </row>
    <row r="96" customFormat="false" ht="15" hidden="false" customHeight="false" outlineLevel="0" collapsed="false">
      <c r="A96" s="57" t="n">
        <v>89</v>
      </c>
      <c r="B96" s="58" t="n">
        <f aca="false">EDATE(前提条件!$C$11,A96-1)</f>
        <v>49096</v>
      </c>
      <c r="C96" s="59" t="n">
        <f aca="false">YEAR(B96)+IF(MONTH(B96)&gt;=7,1,0)-2027+48</f>
        <v>55</v>
      </c>
      <c r="D96" s="60" t="n">
        <f aca="false">前提条件!$C$26/365*DAY(EOMONTH(B96,0))</f>
        <v>30</v>
      </c>
      <c r="E96" s="61" t="n">
        <v>1</v>
      </c>
      <c r="F96" s="62" t="n">
        <f aca="false">前提条件!$C$64*D96*E96</f>
        <v>251250</v>
      </c>
      <c r="G96" s="62" t="n">
        <f aca="false">前提条件!$C$65*D96*E96</f>
        <v>2880</v>
      </c>
      <c r="H96" s="62" t="n">
        <f aca="false">(前提条件!$C$66+前提条件!$C$67)*D96</f>
        <v>6300</v>
      </c>
      <c r="I96" s="62" t="n">
        <f aca="false">前提条件!$C$74/12</f>
        <v>7500</v>
      </c>
      <c r="J96" s="63" t="n">
        <f aca="false">F96+G96-H96-I96</f>
        <v>240330</v>
      </c>
      <c r="K96" s="63" t="n">
        <f aca="false">K95+J96</f>
        <v>21695027</v>
      </c>
      <c r="L96" s="63" t="n">
        <f aca="false">MAX(前提条件!$C$8-K96,0)</f>
        <v>0</v>
      </c>
      <c r="M96" s="62" t="n">
        <f aca="false">前提条件!$C$10</f>
        <v>37500</v>
      </c>
      <c r="N96" s="63" t="n">
        <f aca="false">J96-M96</f>
        <v>202830</v>
      </c>
      <c r="O96" s="63" t="n">
        <f aca="false">O95+N96</f>
        <v>18357527</v>
      </c>
      <c r="P96" s="63" t="n">
        <f aca="false">前提条件!$C$8-SUM(M$8:M96)</f>
        <v>1162500</v>
      </c>
      <c r="Q96" s="64" t="str">
        <f aca="false">IF(AND(K96&gt;=前提条件!$C$8,K95&lt;前提条件!$C$8),"◀投資回収","")</f>
        <v/>
      </c>
    </row>
    <row r="97" customFormat="false" ht="15" hidden="false" customHeight="false" outlineLevel="0" collapsed="false">
      <c r="A97" s="57" t="n">
        <v>90</v>
      </c>
      <c r="B97" s="58" t="n">
        <f aca="false">EDATE(前提条件!$C$11,A97-1)</f>
        <v>49126</v>
      </c>
      <c r="C97" s="59" t="n">
        <f aca="false">YEAR(B97)+IF(MONTH(B97)&gt;=7,1,0)-2027+48</f>
        <v>56</v>
      </c>
      <c r="D97" s="60" t="n">
        <f aca="false">前提条件!$C$26/365*DAY(EOMONTH(B97,0))</f>
        <v>31</v>
      </c>
      <c r="E97" s="61" t="n">
        <v>1</v>
      </c>
      <c r="F97" s="62" t="n">
        <f aca="false">前提条件!$C$64*D97*E97</f>
        <v>259625</v>
      </c>
      <c r="G97" s="62" t="n">
        <f aca="false">前提条件!$C$65*D97*E97</f>
        <v>2976</v>
      </c>
      <c r="H97" s="62" t="n">
        <f aca="false">(前提条件!$C$66+前提条件!$C$67)*D97</f>
        <v>6510</v>
      </c>
      <c r="I97" s="62" t="n">
        <f aca="false">前提条件!$C$74/12</f>
        <v>7500</v>
      </c>
      <c r="J97" s="63" t="n">
        <f aca="false">F97+G97-H97-I97</f>
        <v>248591</v>
      </c>
      <c r="K97" s="63" t="n">
        <f aca="false">K96+J97</f>
        <v>21943618</v>
      </c>
      <c r="L97" s="63" t="n">
        <f aca="false">MAX(前提条件!$C$8-K97,0)</f>
        <v>0</v>
      </c>
      <c r="M97" s="62" t="n">
        <f aca="false">前提条件!$C$10</f>
        <v>37500</v>
      </c>
      <c r="N97" s="63" t="n">
        <f aca="false">J97-M97</f>
        <v>211091</v>
      </c>
      <c r="O97" s="63" t="n">
        <f aca="false">O96+N97</f>
        <v>18568618</v>
      </c>
      <c r="P97" s="63" t="n">
        <f aca="false">前提条件!$C$8-SUM(M$8:M97)</f>
        <v>1125000</v>
      </c>
      <c r="Q97" s="64" t="str">
        <f aca="false">IF(AND(K97&gt;=前提条件!$C$8,K96&lt;前提条件!$C$8),"◀投資回収","")</f>
        <v/>
      </c>
    </row>
    <row r="98" customFormat="false" ht="15" hidden="false" customHeight="false" outlineLevel="0" collapsed="false">
      <c r="A98" s="57" t="n">
        <v>91</v>
      </c>
      <c r="B98" s="58" t="n">
        <f aca="false">EDATE(前提条件!$C$11,A98-1)</f>
        <v>49157</v>
      </c>
      <c r="C98" s="59" t="n">
        <f aca="false">YEAR(B98)+IF(MONTH(B98)&gt;=7,1,0)-2027+48</f>
        <v>56</v>
      </c>
      <c r="D98" s="60" t="n">
        <f aca="false">前提条件!$C$26/365*DAY(EOMONTH(B98,0))</f>
        <v>31</v>
      </c>
      <c r="E98" s="61" t="n">
        <v>1</v>
      </c>
      <c r="F98" s="62" t="n">
        <f aca="false">前提条件!$C$64*D98*E98</f>
        <v>259625</v>
      </c>
      <c r="G98" s="62" t="n">
        <f aca="false">前提条件!$C$65*D98*E98</f>
        <v>2976</v>
      </c>
      <c r="H98" s="62" t="n">
        <f aca="false">(前提条件!$C$66+前提条件!$C$67)*D98</f>
        <v>6510</v>
      </c>
      <c r="I98" s="62" t="n">
        <f aca="false">前提条件!$C$74/12</f>
        <v>7500</v>
      </c>
      <c r="J98" s="63" t="n">
        <f aca="false">F98+G98-H98-I98</f>
        <v>248591</v>
      </c>
      <c r="K98" s="63" t="n">
        <f aca="false">K97+J98</f>
        <v>22192209</v>
      </c>
      <c r="L98" s="63" t="n">
        <f aca="false">MAX(前提条件!$C$8-K98,0)</f>
        <v>0</v>
      </c>
      <c r="M98" s="62" t="n">
        <f aca="false">前提条件!$C$10</f>
        <v>37500</v>
      </c>
      <c r="N98" s="63" t="n">
        <f aca="false">J98-M98</f>
        <v>211091</v>
      </c>
      <c r="O98" s="63" t="n">
        <f aca="false">O97+N98</f>
        <v>18779709</v>
      </c>
      <c r="P98" s="63" t="n">
        <f aca="false">前提条件!$C$8-SUM(M$8:M98)</f>
        <v>1087500</v>
      </c>
      <c r="Q98" s="64" t="str">
        <f aca="false">IF(AND(K98&gt;=前提条件!$C$8,K97&lt;前提条件!$C$8),"◀投資回収","")</f>
        <v/>
      </c>
    </row>
    <row r="99" customFormat="false" ht="15" hidden="false" customHeight="false" outlineLevel="0" collapsed="false">
      <c r="A99" s="57" t="n">
        <v>92</v>
      </c>
      <c r="B99" s="58" t="n">
        <f aca="false">EDATE(前提条件!$C$11,A99-1)</f>
        <v>49188</v>
      </c>
      <c r="C99" s="59" t="n">
        <f aca="false">YEAR(B99)+IF(MONTH(B99)&gt;=7,1,0)-2027+48</f>
        <v>56</v>
      </c>
      <c r="D99" s="60" t="n">
        <f aca="false">前提条件!$C$26/365*DAY(EOMONTH(B99,0))</f>
        <v>30</v>
      </c>
      <c r="E99" s="61" t="n">
        <v>1</v>
      </c>
      <c r="F99" s="62" t="n">
        <f aca="false">前提条件!$C$64*D99*E99</f>
        <v>251250</v>
      </c>
      <c r="G99" s="62" t="n">
        <f aca="false">前提条件!$C$65*D99*E99</f>
        <v>2880</v>
      </c>
      <c r="H99" s="62" t="n">
        <f aca="false">(前提条件!$C$66+前提条件!$C$67)*D99</f>
        <v>6300</v>
      </c>
      <c r="I99" s="62" t="n">
        <f aca="false">前提条件!$C$74/12</f>
        <v>7500</v>
      </c>
      <c r="J99" s="63" t="n">
        <f aca="false">F99+G99-H99-I99</f>
        <v>240330</v>
      </c>
      <c r="K99" s="63" t="n">
        <f aca="false">K98+J99</f>
        <v>22432539</v>
      </c>
      <c r="L99" s="63" t="n">
        <f aca="false">MAX(前提条件!$C$8-K99,0)</f>
        <v>0</v>
      </c>
      <c r="M99" s="62" t="n">
        <f aca="false">前提条件!$C$10</f>
        <v>37500</v>
      </c>
      <c r="N99" s="63" t="n">
        <f aca="false">J99-M99</f>
        <v>202830</v>
      </c>
      <c r="O99" s="63" t="n">
        <f aca="false">O98+N99</f>
        <v>18982539</v>
      </c>
      <c r="P99" s="63" t="n">
        <f aca="false">前提条件!$C$8-SUM(M$8:M99)</f>
        <v>1050000</v>
      </c>
      <c r="Q99" s="64" t="str">
        <f aca="false">IF(AND(K99&gt;=前提条件!$C$8,K98&lt;前提条件!$C$8),"◀投資回収","")</f>
        <v/>
      </c>
    </row>
    <row r="100" customFormat="false" ht="15" hidden="false" customHeight="false" outlineLevel="0" collapsed="false">
      <c r="A100" s="57" t="n">
        <v>93</v>
      </c>
      <c r="B100" s="58" t="n">
        <f aca="false">EDATE(前提条件!$C$11,A100-1)</f>
        <v>49218</v>
      </c>
      <c r="C100" s="59" t="n">
        <f aca="false">YEAR(B100)+IF(MONTH(B100)&gt;=7,1,0)-2027+48</f>
        <v>56</v>
      </c>
      <c r="D100" s="60" t="n">
        <f aca="false">前提条件!$C$26/365*DAY(EOMONTH(B100,0))</f>
        <v>31</v>
      </c>
      <c r="E100" s="61" t="n">
        <v>1</v>
      </c>
      <c r="F100" s="62" t="n">
        <f aca="false">前提条件!$C$64*D100*E100</f>
        <v>259625</v>
      </c>
      <c r="G100" s="62" t="n">
        <f aca="false">前提条件!$C$65*D100*E100</f>
        <v>2976</v>
      </c>
      <c r="H100" s="62" t="n">
        <f aca="false">(前提条件!$C$66+前提条件!$C$67)*D100</f>
        <v>6510</v>
      </c>
      <c r="I100" s="62" t="n">
        <f aca="false">前提条件!$C$74/12</f>
        <v>7500</v>
      </c>
      <c r="J100" s="63" t="n">
        <f aca="false">F100+G100-H100-I100</f>
        <v>248591</v>
      </c>
      <c r="K100" s="63" t="n">
        <f aca="false">K99+J100</f>
        <v>22681130</v>
      </c>
      <c r="L100" s="63" t="n">
        <f aca="false">MAX(前提条件!$C$8-K100,0)</f>
        <v>0</v>
      </c>
      <c r="M100" s="62" t="n">
        <f aca="false">前提条件!$C$10</f>
        <v>37500</v>
      </c>
      <c r="N100" s="63" t="n">
        <f aca="false">J100-M100</f>
        <v>211091</v>
      </c>
      <c r="O100" s="63" t="n">
        <f aca="false">O99+N100</f>
        <v>19193630</v>
      </c>
      <c r="P100" s="63" t="n">
        <f aca="false">前提条件!$C$8-SUM(M$8:M100)</f>
        <v>1012500</v>
      </c>
      <c r="Q100" s="64" t="str">
        <f aca="false">IF(AND(K100&gt;=前提条件!$C$8,K99&lt;前提条件!$C$8),"◀投資回収","")</f>
        <v/>
      </c>
    </row>
    <row r="101" customFormat="false" ht="15" hidden="false" customHeight="false" outlineLevel="0" collapsed="false">
      <c r="A101" s="57" t="n">
        <v>94</v>
      </c>
      <c r="B101" s="58" t="n">
        <f aca="false">EDATE(前提条件!$C$11,A101-1)</f>
        <v>49249</v>
      </c>
      <c r="C101" s="59" t="n">
        <f aca="false">YEAR(B101)+IF(MONTH(B101)&gt;=7,1,0)-2027+48</f>
        <v>56</v>
      </c>
      <c r="D101" s="60" t="n">
        <f aca="false">前提条件!$C$26/365*DAY(EOMONTH(B101,0))</f>
        <v>30</v>
      </c>
      <c r="E101" s="61" t="n">
        <v>1</v>
      </c>
      <c r="F101" s="62" t="n">
        <f aca="false">前提条件!$C$64*D101*E101</f>
        <v>251250</v>
      </c>
      <c r="G101" s="62" t="n">
        <f aca="false">前提条件!$C$65*D101*E101</f>
        <v>2880</v>
      </c>
      <c r="H101" s="62" t="n">
        <f aca="false">(前提条件!$C$66+前提条件!$C$67)*D101</f>
        <v>6300</v>
      </c>
      <c r="I101" s="62" t="n">
        <f aca="false">前提条件!$C$74/12</f>
        <v>7500</v>
      </c>
      <c r="J101" s="63" t="n">
        <f aca="false">F101+G101-H101-I101</f>
        <v>240330</v>
      </c>
      <c r="K101" s="63" t="n">
        <f aca="false">K100+J101</f>
        <v>22921460</v>
      </c>
      <c r="L101" s="63" t="n">
        <f aca="false">MAX(前提条件!$C$8-K101,0)</f>
        <v>0</v>
      </c>
      <c r="M101" s="62" t="n">
        <f aca="false">前提条件!$C$10</f>
        <v>37500</v>
      </c>
      <c r="N101" s="63" t="n">
        <f aca="false">J101-M101</f>
        <v>202830</v>
      </c>
      <c r="O101" s="63" t="n">
        <f aca="false">O100+N101</f>
        <v>19396460</v>
      </c>
      <c r="P101" s="63" t="n">
        <f aca="false">前提条件!$C$8-SUM(M$8:M101)</f>
        <v>975000</v>
      </c>
      <c r="Q101" s="64" t="str">
        <f aca="false">IF(AND(K101&gt;=前提条件!$C$8,K100&lt;前提条件!$C$8),"◀投資回収","")</f>
        <v/>
      </c>
    </row>
    <row r="102" customFormat="false" ht="15" hidden="false" customHeight="false" outlineLevel="0" collapsed="false">
      <c r="A102" s="57" t="n">
        <v>95</v>
      </c>
      <c r="B102" s="58" t="n">
        <f aca="false">EDATE(前提条件!$C$11,A102-1)</f>
        <v>49279</v>
      </c>
      <c r="C102" s="59" t="n">
        <f aca="false">YEAR(B102)+IF(MONTH(B102)&gt;=7,1,0)-2027+48</f>
        <v>56</v>
      </c>
      <c r="D102" s="60" t="n">
        <f aca="false">前提条件!$C$26/365*DAY(EOMONTH(B102,0))</f>
        <v>31</v>
      </c>
      <c r="E102" s="61" t="n">
        <v>1</v>
      </c>
      <c r="F102" s="62" t="n">
        <f aca="false">前提条件!$C$64*D102*E102</f>
        <v>259625</v>
      </c>
      <c r="G102" s="62" t="n">
        <f aca="false">前提条件!$C$65*D102*E102</f>
        <v>2976</v>
      </c>
      <c r="H102" s="62" t="n">
        <f aca="false">(前提条件!$C$66+前提条件!$C$67)*D102</f>
        <v>6510</v>
      </c>
      <c r="I102" s="62" t="n">
        <f aca="false">前提条件!$C$74/12</f>
        <v>7500</v>
      </c>
      <c r="J102" s="63" t="n">
        <f aca="false">F102+G102-H102-I102</f>
        <v>248591</v>
      </c>
      <c r="K102" s="63" t="n">
        <f aca="false">K101+J102</f>
        <v>23170051</v>
      </c>
      <c r="L102" s="63" t="n">
        <f aca="false">MAX(前提条件!$C$8-K102,0)</f>
        <v>0</v>
      </c>
      <c r="M102" s="62" t="n">
        <f aca="false">前提条件!$C$10</f>
        <v>37500</v>
      </c>
      <c r="N102" s="63" t="n">
        <f aca="false">J102-M102</f>
        <v>211091</v>
      </c>
      <c r="O102" s="63" t="n">
        <f aca="false">O101+N102</f>
        <v>19607551</v>
      </c>
      <c r="P102" s="63" t="n">
        <f aca="false">前提条件!$C$8-SUM(M$8:M102)</f>
        <v>937500</v>
      </c>
      <c r="Q102" s="64" t="str">
        <f aca="false">IF(AND(K102&gt;=前提条件!$C$8,K101&lt;前提条件!$C$8),"◀投資回収","")</f>
        <v/>
      </c>
    </row>
    <row r="103" customFormat="false" ht="15" hidden="false" customHeight="false" outlineLevel="0" collapsed="false">
      <c r="A103" s="57" t="n">
        <v>96</v>
      </c>
      <c r="B103" s="58" t="n">
        <f aca="false">EDATE(前提条件!$C$11,A103-1)</f>
        <v>49310</v>
      </c>
      <c r="C103" s="59" t="n">
        <f aca="false">YEAR(B103)+IF(MONTH(B103)&gt;=7,1,0)-2027+48</f>
        <v>56</v>
      </c>
      <c r="D103" s="60" t="n">
        <f aca="false">前提条件!$C$26/365*DAY(EOMONTH(B103,0))</f>
        <v>31</v>
      </c>
      <c r="E103" s="61" t="n">
        <v>1</v>
      </c>
      <c r="F103" s="62" t="n">
        <f aca="false">前提条件!$C$64*D103*E103</f>
        <v>259625</v>
      </c>
      <c r="G103" s="62" t="n">
        <f aca="false">前提条件!$C$65*D103*E103</f>
        <v>2976</v>
      </c>
      <c r="H103" s="62" t="n">
        <f aca="false">(前提条件!$C$66+前提条件!$C$67)*D103</f>
        <v>6510</v>
      </c>
      <c r="I103" s="62" t="n">
        <f aca="false">前提条件!$C$74/12</f>
        <v>7500</v>
      </c>
      <c r="J103" s="63" t="n">
        <f aca="false">F103+G103-H103-I103</f>
        <v>248591</v>
      </c>
      <c r="K103" s="63" t="n">
        <f aca="false">K102+J103</f>
        <v>23418642</v>
      </c>
      <c r="L103" s="63" t="n">
        <f aca="false">MAX(前提条件!$C$8-K103,0)</f>
        <v>0</v>
      </c>
      <c r="M103" s="62" t="n">
        <f aca="false">前提条件!$C$10</f>
        <v>37500</v>
      </c>
      <c r="N103" s="63" t="n">
        <f aca="false">J103-M103</f>
        <v>211091</v>
      </c>
      <c r="O103" s="63" t="n">
        <f aca="false">O102+N103</f>
        <v>19818642</v>
      </c>
      <c r="P103" s="63" t="n">
        <f aca="false">前提条件!$C$8-SUM(M$8:M103)</f>
        <v>900000</v>
      </c>
      <c r="Q103" s="64" t="str">
        <f aca="false">IF(AND(K103&gt;=前提条件!$C$8,K102&lt;前提条件!$C$8),"◀投資回収","")</f>
        <v/>
      </c>
    </row>
    <row r="104" customFormat="false" ht="15" hidden="false" customHeight="false" outlineLevel="0" collapsed="false">
      <c r="A104" s="57" t="n">
        <v>97</v>
      </c>
      <c r="B104" s="58" t="n">
        <f aca="false">EDATE(前提条件!$C$11,A104-1)</f>
        <v>49341</v>
      </c>
      <c r="C104" s="59" t="n">
        <f aca="false">YEAR(B104)+IF(MONTH(B104)&gt;=7,1,0)-2027+48</f>
        <v>56</v>
      </c>
      <c r="D104" s="60" t="n">
        <f aca="false">前提条件!$C$26/365*DAY(EOMONTH(B104,0))</f>
        <v>28</v>
      </c>
      <c r="E104" s="61" t="n">
        <v>1</v>
      </c>
      <c r="F104" s="62" t="n">
        <f aca="false">前提条件!$C$64*D104*E104</f>
        <v>234500</v>
      </c>
      <c r="G104" s="62" t="n">
        <f aca="false">前提条件!$C$65*D104*E104</f>
        <v>2688</v>
      </c>
      <c r="H104" s="62" t="n">
        <f aca="false">(前提条件!$C$66+前提条件!$C$67)*D104</f>
        <v>5880</v>
      </c>
      <c r="I104" s="62" t="n">
        <f aca="false">前提条件!$C$74/12</f>
        <v>7500</v>
      </c>
      <c r="J104" s="63" t="n">
        <f aca="false">F104+G104-H104-I104</f>
        <v>223808</v>
      </c>
      <c r="K104" s="63" t="n">
        <f aca="false">K103+J104</f>
        <v>23642450</v>
      </c>
      <c r="L104" s="63" t="n">
        <f aca="false">MAX(前提条件!$C$8-K104,0)</f>
        <v>0</v>
      </c>
      <c r="M104" s="62" t="n">
        <f aca="false">前提条件!$C$10</f>
        <v>37500</v>
      </c>
      <c r="N104" s="63" t="n">
        <f aca="false">J104-M104</f>
        <v>186308</v>
      </c>
      <c r="O104" s="63" t="n">
        <f aca="false">O103+N104</f>
        <v>20004950</v>
      </c>
      <c r="P104" s="63" t="n">
        <f aca="false">前提条件!$C$8-SUM(M$8:M104)</f>
        <v>862500</v>
      </c>
      <c r="Q104" s="64" t="str">
        <f aca="false">IF(AND(K104&gt;=前提条件!$C$8,K103&lt;前提条件!$C$8),"◀投資回収","")</f>
        <v/>
      </c>
    </row>
    <row r="105" customFormat="false" ht="15" hidden="false" customHeight="false" outlineLevel="0" collapsed="false">
      <c r="A105" s="57" t="n">
        <v>98</v>
      </c>
      <c r="B105" s="58" t="n">
        <f aca="false">EDATE(前提条件!$C$11,A105-1)</f>
        <v>49369</v>
      </c>
      <c r="C105" s="59" t="n">
        <f aca="false">YEAR(B105)+IF(MONTH(B105)&gt;=7,1,0)-2027+48</f>
        <v>56</v>
      </c>
      <c r="D105" s="60" t="n">
        <f aca="false">前提条件!$C$26/365*DAY(EOMONTH(B105,0))</f>
        <v>31</v>
      </c>
      <c r="E105" s="61" t="n">
        <v>1</v>
      </c>
      <c r="F105" s="62" t="n">
        <f aca="false">前提条件!$C$64*D105*E105</f>
        <v>259625</v>
      </c>
      <c r="G105" s="62" t="n">
        <f aca="false">前提条件!$C$65*D105*E105</f>
        <v>2976</v>
      </c>
      <c r="H105" s="62" t="n">
        <f aca="false">(前提条件!$C$66+前提条件!$C$67)*D105</f>
        <v>6510</v>
      </c>
      <c r="I105" s="62" t="n">
        <f aca="false">前提条件!$C$74/12</f>
        <v>7500</v>
      </c>
      <c r="J105" s="63" t="n">
        <f aca="false">F105+G105-H105-I105</f>
        <v>248591</v>
      </c>
      <c r="K105" s="63" t="n">
        <f aca="false">K104+J105</f>
        <v>23891041</v>
      </c>
      <c r="L105" s="63" t="n">
        <f aca="false">MAX(前提条件!$C$8-K105,0)</f>
        <v>0</v>
      </c>
      <c r="M105" s="62" t="n">
        <f aca="false">前提条件!$C$10</f>
        <v>37500</v>
      </c>
      <c r="N105" s="63" t="n">
        <f aca="false">J105-M105</f>
        <v>211091</v>
      </c>
      <c r="O105" s="63" t="n">
        <f aca="false">O104+N105</f>
        <v>20216041</v>
      </c>
      <c r="P105" s="63" t="n">
        <f aca="false">前提条件!$C$8-SUM(M$8:M105)</f>
        <v>825000</v>
      </c>
      <c r="Q105" s="64" t="str">
        <f aca="false">IF(AND(K105&gt;=前提条件!$C$8,K104&lt;前提条件!$C$8),"◀投資回収","")</f>
        <v/>
      </c>
    </row>
    <row r="106" customFormat="false" ht="15" hidden="false" customHeight="false" outlineLevel="0" collapsed="false">
      <c r="A106" s="57" t="n">
        <v>99</v>
      </c>
      <c r="B106" s="58" t="n">
        <f aca="false">EDATE(前提条件!$C$11,A106-1)</f>
        <v>49400</v>
      </c>
      <c r="C106" s="59" t="n">
        <f aca="false">YEAR(B106)+IF(MONTH(B106)&gt;=7,1,0)-2027+48</f>
        <v>56</v>
      </c>
      <c r="D106" s="60" t="n">
        <f aca="false">前提条件!$C$26/365*DAY(EOMONTH(B106,0))</f>
        <v>30</v>
      </c>
      <c r="E106" s="61" t="n">
        <v>1</v>
      </c>
      <c r="F106" s="62" t="n">
        <f aca="false">前提条件!$C$64*D106*E106</f>
        <v>251250</v>
      </c>
      <c r="G106" s="62" t="n">
        <f aca="false">前提条件!$C$65*D106*E106</f>
        <v>2880</v>
      </c>
      <c r="H106" s="62" t="n">
        <f aca="false">(前提条件!$C$66+前提条件!$C$67)*D106</f>
        <v>6300</v>
      </c>
      <c r="I106" s="62" t="n">
        <f aca="false">前提条件!$C$74/12</f>
        <v>7500</v>
      </c>
      <c r="J106" s="63" t="n">
        <f aca="false">F106+G106-H106-I106</f>
        <v>240330</v>
      </c>
      <c r="K106" s="63" t="n">
        <f aca="false">K105+J106</f>
        <v>24131371</v>
      </c>
      <c r="L106" s="63" t="n">
        <f aca="false">MAX(前提条件!$C$8-K106,0)</f>
        <v>0</v>
      </c>
      <c r="M106" s="62" t="n">
        <f aca="false">前提条件!$C$10</f>
        <v>37500</v>
      </c>
      <c r="N106" s="63" t="n">
        <f aca="false">J106-M106</f>
        <v>202830</v>
      </c>
      <c r="O106" s="63" t="n">
        <f aca="false">O105+N106</f>
        <v>20418871</v>
      </c>
      <c r="P106" s="63" t="n">
        <f aca="false">前提条件!$C$8-SUM(M$8:M106)</f>
        <v>787500</v>
      </c>
      <c r="Q106" s="64" t="str">
        <f aca="false">IF(AND(K106&gt;=前提条件!$C$8,K105&lt;前提条件!$C$8),"◀投資回収","")</f>
        <v/>
      </c>
    </row>
    <row r="107" customFormat="false" ht="15" hidden="false" customHeight="false" outlineLevel="0" collapsed="false">
      <c r="A107" s="57" t="n">
        <v>100</v>
      </c>
      <c r="B107" s="58" t="n">
        <f aca="false">EDATE(前提条件!$C$11,A107-1)</f>
        <v>49430</v>
      </c>
      <c r="C107" s="59" t="n">
        <f aca="false">YEAR(B107)+IF(MONTH(B107)&gt;=7,1,0)-2027+48</f>
        <v>56</v>
      </c>
      <c r="D107" s="60" t="n">
        <f aca="false">前提条件!$C$26/365*DAY(EOMONTH(B107,0))</f>
        <v>31</v>
      </c>
      <c r="E107" s="61" t="n">
        <v>1</v>
      </c>
      <c r="F107" s="62" t="n">
        <f aca="false">前提条件!$C$64*D107*E107</f>
        <v>259625</v>
      </c>
      <c r="G107" s="62" t="n">
        <f aca="false">前提条件!$C$65*D107*E107</f>
        <v>2976</v>
      </c>
      <c r="H107" s="62" t="n">
        <f aca="false">(前提条件!$C$66+前提条件!$C$67)*D107</f>
        <v>6510</v>
      </c>
      <c r="I107" s="62" t="n">
        <f aca="false">前提条件!$C$74/12</f>
        <v>7500</v>
      </c>
      <c r="J107" s="63" t="n">
        <f aca="false">F107+G107-H107-I107</f>
        <v>248591</v>
      </c>
      <c r="K107" s="63" t="n">
        <f aca="false">K106+J107</f>
        <v>24379962</v>
      </c>
      <c r="L107" s="63" t="n">
        <f aca="false">MAX(前提条件!$C$8-K107,0)</f>
        <v>0</v>
      </c>
      <c r="M107" s="62" t="n">
        <f aca="false">前提条件!$C$10</f>
        <v>37500</v>
      </c>
      <c r="N107" s="63" t="n">
        <f aca="false">J107-M107</f>
        <v>211091</v>
      </c>
      <c r="O107" s="63" t="n">
        <f aca="false">O106+N107</f>
        <v>20629962</v>
      </c>
      <c r="P107" s="63" t="n">
        <f aca="false">前提条件!$C$8-SUM(M$8:M107)</f>
        <v>750000</v>
      </c>
      <c r="Q107" s="64" t="str">
        <f aca="false">IF(AND(K107&gt;=前提条件!$C$8,K106&lt;前提条件!$C$8),"◀投資回収","")</f>
        <v/>
      </c>
    </row>
    <row r="108" customFormat="false" ht="15" hidden="false" customHeight="false" outlineLevel="0" collapsed="false">
      <c r="A108" s="57" t="n">
        <v>101</v>
      </c>
      <c r="B108" s="58" t="n">
        <f aca="false">EDATE(前提条件!$C$11,A108-1)</f>
        <v>49461</v>
      </c>
      <c r="C108" s="59" t="n">
        <f aca="false">YEAR(B108)+IF(MONTH(B108)&gt;=7,1,0)-2027+48</f>
        <v>56</v>
      </c>
      <c r="D108" s="60" t="n">
        <f aca="false">前提条件!$C$26/365*DAY(EOMONTH(B108,0))</f>
        <v>30</v>
      </c>
      <c r="E108" s="61" t="n">
        <v>1</v>
      </c>
      <c r="F108" s="62" t="n">
        <f aca="false">前提条件!$C$64*D108*E108</f>
        <v>251250</v>
      </c>
      <c r="G108" s="62" t="n">
        <f aca="false">前提条件!$C$65*D108*E108</f>
        <v>2880</v>
      </c>
      <c r="H108" s="62" t="n">
        <f aca="false">(前提条件!$C$66+前提条件!$C$67)*D108</f>
        <v>6300</v>
      </c>
      <c r="I108" s="62" t="n">
        <f aca="false">前提条件!$C$74/12</f>
        <v>7500</v>
      </c>
      <c r="J108" s="63" t="n">
        <f aca="false">F108+G108-H108-I108</f>
        <v>240330</v>
      </c>
      <c r="K108" s="63" t="n">
        <f aca="false">K107+J108</f>
        <v>24620292</v>
      </c>
      <c r="L108" s="63" t="n">
        <f aca="false">MAX(前提条件!$C$8-K108,0)</f>
        <v>0</v>
      </c>
      <c r="M108" s="62" t="n">
        <f aca="false">前提条件!$C$10</f>
        <v>37500</v>
      </c>
      <c r="N108" s="63" t="n">
        <f aca="false">J108-M108</f>
        <v>202830</v>
      </c>
      <c r="O108" s="63" t="n">
        <f aca="false">O107+N108</f>
        <v>20832792</v>
      </c>
      <c r="P108" s="63" t="n">
        <f aca="false">前提条件!$C$8-SUM(M$8:M108)</f>
        <v>712500</v>
      </c>
      <c r="Q108" s="64" t="str">
        <f aca="false">IF(AND(K108&gt;=前提条件!$C$8,K107&lt;前提条件!$C$8),"◀投資回収","")</f>
        <v/>
      </c>
    </row>
    <row r="109" customFormat="false" ht="15" hidden="false" customHeight="false" outlineLevel="0" collapsed="false">
      <c r="A109" s="57" t="n">
        <v>102</v>
      </c>
      <c r="B109" s="58" t="n">
        <f aca="false">EDATE(前提条件!$C$11,A109-1)</f>
        <v>49491</v>
      </c>
      <c r="C109" s="59" t="n">
        <f aca="false">YEAR(B109)+IF(MONTH(B109)&gt;=7,1,0)-2027+48</f>
        <v>57</v>
      </c>
      <c r="D109" s="60" t="n">
        <f aca="false">前提条件!$C$26/365*DAY(EOMONTH(B109,0))</f>
        <v>31</v>
      </c>
      <c r="E109" s="61" t="n">
        <v>1</v>
      </c>
      <c r="F109" s="62" t="n">
        <f aca="false">前提条件!$C$64*D109*E109</f>
        <v>259625</v>
      </c>
      <c r="G109" s="62" t="n">
        <f aca="false">前提条件!$C$65*D109*E109</f>
        <v>2976</v>
      </c>
      <c r="H109" s="62" t="n">
        <f aca="false">(前提条件!$C$66+前提条件!$C$67)*D109</f>
        <v>6510</v>
      </c>
      <c r="I109" s="62" t="n">
        <f aca="false">前提条件!$C$74/12</f>
        <v>7500</v>
      </c>
      <c r="J109" s="63" t="n">
        <f aca="false">F109+G109-H109-I109</f>
        <v>248591</v>
      </c>
      <c r="K109" s="63" t="n">
        <f aca="false">K108+J109</f>
        <v>24868883</v>
      </c>
      <c r="L109" s="63" t="n">
        <f aca="false">MAX(前提条件!$C$8-K109,0)</f>
        <v>0</v>
      </c>
      <c r="M109" s="62" t="n">
        <f aca="false">前提条件!$C$10</f>
        <v>37500</v>
      </c>
      <c r="N109" s="63" t="n">
        <f aca="false">J109-M109</f>
        <v>211091</v>
      </c>
      <c r="O109" s="63" t="n">
        <f aca="false">O108+N109</f>
        <v>21043883</v>
      </c>
      <c r="P109" s="63" t="n">
        <f aca="false">前提条件!$C$8-SUM(M$8:M109)</f>
        <v>675000</v>
      </c>
      <c r="Q109" s="64" t="str">
        <f aca="false">IF(AND(K109&gt;=前提条件!$C$8,K108&lt;前提条件!$C$8),"◀投資回収","")</f>
        <v/>
      </c>
    </row>
    <row r="110" customFormat="false" ht="15" hidden="false" customHeight="false" outlineLevel="0" collapsed="false">
      <c r="A110" s="57" t="n">
        <v>103</v>
      </c>
      <c r="B110" s="58" t="n">
        <f aca="false">EDATE(前提条件!$C$11,A110-1)</f>
        <v>49522</v>
      </c>
      <c r="C110" s="59" t="n">
        <f aca="false">YEAR(B110)+IF(MONTH(B110)&gt;=7,1,0)-2027+48</f>
        <v>57</v>
      </c>
      <c r="D110" s="60" t="n">
        <f aca="false">前提条件!$C$26/365*DAY(EOMONTH(B110,0))</f>
        <v>31</v>
      </c>
      <c r="E110" s="61" t="n">
        <v>1</v>
      </c>
      <c r="F110" s="62" t="n">
        <f aca="false">前提条件!$C$64*D110*E110</f>
        <v>259625</v>
      </c>
      <c r="G110" s="62" t="n">
        <f aca="false">前提条件!$C$65*D110*E110</f>
        <v>2976</v>
      </c>
      <c r="H110" s="62" t="n">
        <f aca="false">(前提条件!$C$66+前提条件!$C$67)*D110</f>
        <v>6510</v>
      </c>
      <c r="I110" s="62" t="n">
        <f aca="false">前提条件!$C$74/12</f>
        <v>7500</v>
      </c>
      <c r="J110" s="63" t="n">
        <f aca="false">F110+G110-H110-I110</f>
        <v>248591</v>
      </c>
      <c r="K110" s="63" t="n">
        <f aca="false">K109+J110</f>
        <v>25117474</v>
      </c>
      <c r="L110" s="63" t="n">
        <f aca="false">MAX(前提条件!$C$8-K110,0)</f>
        <v>0</v>
      </c>
      <c r="M110" s="62" t="n">
        <f aca="false">前提条件!$C$10</f>
        <v>37500</v>
      </c>
      <c r="N110" s="63" t="n">
        <f aca="false">J110-M110</f>
        <v>211091</v>
      </c>
      <c r="O110" s="63" t="n">
        <f aca="false">O109+N110</f>
        <v>21254974</v>
      </c>
      <c r="P110" s="63" t="n">
        <f aca="false">前提条件!$C$8-SUM(M$8:M110)</f>
        <v>637500</v>
      </c>
      <c r="Q110" s="64" t="str">
        <f aca="false">IF(AND(K110&gt;=前提条件!$C$8,K109&lt;前提条件!$C$8),"◀投資回収","")</f>
        <v/>
      </c>
    </row>
    <row r="111" customFormat="false" ht="15" hidden="false" customHeight="false" outlineLevel="0" collapsed="false">
      <c r="A111" s="57" t="n">
        <v>104</v>
      </c>
      <c r="B111" s="58" t="n">
        <f aca="false">EDATE(前提条件!$C$11,A111-1)</f>
        <v>49553</v>
      </c>
      <c r="C111" s="59" t="n">
        <f aca="false">YEAR(B111)+IF(MONTH(B111)&gt;=7,1,0)-2027+48</f>
        <v>57</v>
      </c>
      <c r="D111" s="60" t="n">
        <f aca="false">前提条件!$C$26/365*DAY(EOMONTH(B111,0))</f>
        <v>30</v>
      </c>
      <c r="E111" s="61" t="n">
        <v>1</v>
      </c>
      <c r="F111" s="62" t="n">
        <f aca="false">前提条件!$C$64*D111*E111</f>
        <v>251250</v>
      </c>
      <c r="G111" s="62" t="n">
        <f aca="false">前提条件!$C$65*D111*E111</f>
        <v>2880</v>
      </c>
      <c r="H111" s="62" t="n">
        <f aca="false">(前提条件!$C$66+前提条件!$C$67)*D111</f>
        <v>6300</v>
      </c>
      <c r="I111" s="62" t="n">
        <f aca="false">前提条件!$C$74/12</f>
        <v>7500</v>
      </c>
      <c r="J111" s="63" t="n">
        <f aca="false">F111+G111-H111-I111</f>
        <v>240330</v>
      </c>
      <c r="K111" s="63" t="n">
        <f aca="false">K110+J111</f>
        <v>25357804</v>
      </c>
      <c r="L111" s="63" t="n">
        <f aca="false">MAX(前提条件!$C$8-K111,0)</f>
        <v>0</v>
      </c>
      <c r="M111" s="62" t="n">
        <f aca="false">前提条件!$C$10</f>
        <v>37500</v>
      </c>
      <c r="N111" s="63" t="n">
        <f aca="false">J111-M111</f>
        <v>202830</v>
      </c>
      <c r="O111" s="63" t="n">
        <f aca="false">O110+N111</f>
        <v>21457804</v>
      </c>
      <c r="P111" s="63" t="n">
        <f aca="false">前提条件!$C$8-SUM(M$8:M111)</f>
        <v>600000</v>
      </c>
      <c r="Q111" s="64" t="str">
        <f aca="false">IF(AND(K111&gt;=前提条件!$C$8,K110&lt;前提条件!$C$8),"◀投資回収","")</f>
        <v/>
      </c>
    </row>
    <row r="112" customFormat="false" ht="15" hidden="false" customHeight="false" outlineLevel="0" collapsed="false">
      <c r="A112" s="57" t="n">
        <v>105</v>
      </c>
      <c r="B112" s="58" t="n">
        <f aca="false">EDATE(前提条件!$C$11,A112-1)</f>
        <v>49583</v>
      </c>
      <c r="C112" s="59" t="n">
        <f aca="false">YEAR(B112)+IF(MONTH(B112)&gt;=7,1,0)-2027+48</f>
        <v>57</v>
      </c>
      <c r="D112" s="60" t="n">
        <f aca="false">前提条件!$C$26/365*DAY(EOMONTH(B112,0))</f>
        <v>31</v>
      </c>
      <c r="E112" s="61" t="n">
        <v>1</v>
      </c>
      <c r="F112" s="62" t="n">
        <f aca="false">前提条件!$C$64*D112*E112</f>
        <v>259625</v>
      </c>
      <c r="G112" s="62" t="n">
        <f aca="false">前提条件!$C$65*D112*E112</f>
        <v>2976</v>
      </c>
      <c r="H112" s="62" t="n">
        <f aca="false">(前提条件!$C$66+前提条件!$C$67)*D112</f>
        <v>6510</v>
      </c>
      <c r="I112" s="62" t="n">
        <f aca="false">前提条件!$C$74/12</f>
        <v>7500</v>
      </c>
      <c r="J112" s="63" t="n">
        <f aca="false">F112+G112-H112-I112</f>
        <v>248591</v>
      </c>
      <c r="K112" s="63" t="n">
        <f aca="false">K111+J112</f>
        <v>25606395</v>
      </c>
      <c r="L112" s="63" t="n">
        <f aca="false">MAX(前提条件!$C$8-K112,0)</f>
        <v>0</v>
      </c>
      <c r="M112" s="62" t="n">
        <f aca="false">前提条件!$C$10</f>
        <v>37500</v>
      </c>
      <c r="N112" s="63" t="n">
        <f aca="false">J112-M112</f>
        <v>211091</v>
      </c>
      <c r="O112" s="63" t="n">
        <f aca="false">O111+N112</f>
        <v>21668895</v>
      </c>
      <c r="P112" s="63" t="n">
        <f aca="false">前提条件!$C$8-SUM(M$8:M112)</f>
        <v>562500</v>
      </c>
      <c r="Q112" s="64" t="str">
        <f aca="false">IF(AND(K112&gt;=前提条件!$C$8,K111&lt;前提条件!$C$8),"◀投資回収","")</f>
        <v/>
      </c>
    </row>
    <row r="113" customFormat="false" ht="15" hidden="false" customHeight="false" outlineLevel="0" collapsed="false">
      <c r="A113" s="57" t="n">
        <v>106</v>
      </c>
      <c r="B113" s="58" t="n">
        <f aca="false">EDATE(前提条件!$C$11,A113-1)</f>
        <v>49614</v>
      </c>
      <c r="C113" s="59" t="n">
        <f aca="false">YEAR(B113)+IF(MONTH(B113)&gt;=7,1,0)-2027+48</f>
        <v>57</v>
      </c>
      <c r="D113" s="60" t="n">
        <f aca="false">前提条件!$C$26/365*DAY(EOMONTH(B113,0))</f>
        <v>30</v>
      </c>
      <c r="E113" s="61" t="n">
        <v>1</v>
      </c>
      <c r="F113" s="62" t="n">
        <f aca="false">前提条件!$C$64*D113*E113</f>
        <v>251250</v>
      </c>
      <c r="G113" s="62" t="n">
        <f aca="false">前提条件!$C$65*D113*E113</f>
        <v>2880</v>
      </c>
      <c r="H113" s="62" t="n">
        <f aca="false">(前提条件!$C$66+前提条件!$C$67)*D113</f>
        <v>6300</v>
      </c>
      <c r="I113" s="62" t="n">
        <f aca="false">前提条件!$C$74/12</f>
        <v>7500</v>
      </c>
      <c r="J113" s="63" t="n">
        <f aca="false">F113+G113-H113-I113</f>
        <v>240330</v>
      </c>
      <c r="K113" s="63" t="n">
        <f aca="false">K112+J113</f>
        <v>25846725</v>
      </c>
      <c r="L113" s="63" t="n">
        <f aca="false">MAX(前提条件!$C$8-K113,0)</f>
        <v>0</v>
      </c>
      <c r="M113" s="62" t="n">
        <f aca="false">前提条件!$C$10</f>
        <v>37500</v>
      </c>
      <c r="N113" s="63" t="n">
        <f aca="false">J113-M113</f>
        <v>202830</v>
      </c>
      <c r="O113" s="63" t="n">
        <f aca="false">O112+N113</f>
        <v>21871725</v>
      </c>
      <c r="P113" s="63" t="n">
        <f aca="false">前提条件!$C$8-SUM(M$8:M113)</f>
        <v>525000</v>
      </c>
      <c r="Q113" s="64" t="str">
        <f aca="false">IF(AND(K113&gt;=前提条件!$C$8,K112&lt;前提条件!$C$8),"◀投資回収","")</f>
        <v/>
      </c>
    </row>
    <row r="114" customFormat="false" ht="15" hidden="false" customHeight="false" outlineLevel="0" collapsed="false">
      <c r="A114" s="57" t="n">
        <v>107</v>
      </c>
      <c r="B114" s="58" t="n">
        <f aca="false">EDATE(前提条件!$C$11,A114-1)</f>
        <v>49644</v>
      </c>
      <c r="C114" s="59" t="n">
        <f aca="false">YEAR(B114)+IF(MONTH(B114)&gt;=7,1,0)-2027+48</f>
        <v>57</v>
      </c>
      <c r="D114" s="60" t="n">
        <f aca="false">前提条件!$C$26/365*DAY(EOMONTH(B114,0))</f>
        <v>31</v>
      </c>
      <c r="E114" s="61" t="n">
        <v>1</v>
      </c>
      <c r="F114" s="62" t="n">
        <f aca="false">前提条件!$C$64*D114*E114</f>
        <v>259625</v>
      </c>
      <c r="G114" s="62" t="n">
        <f aca="false">前提条件!$C$65*D114*E114</f>
        <v>2976</v>
      </c>
      <c r="H114" s="62" t="n">
        <f aca="false">(前提条件!$C$66+前提条件!$C$67)*D114</f>
        <v>6510</v>
      </c>
      <c r="I114" s="62" t="n">
        <f aca="false">前提条件!$C$74/12</f>
        <v>7500</v>
      </c>
      <c r="J114" s="63" t="n">
        <f aca="false">F114+G114-H114-I114</f>
        <v>248591</v>
      </c>
      <c r="K114" s="63" t="n">
        <f aca="false">K113+J114</f>
        <v>26095316</v>
      </c>
      <c r="L114" s="63" t="n">
        <f aca="false">MAX(前提条件!$C$8-K114,0)</f>
        <v>0</v>
      </c>
      <c r="M114" s="62" t="n">
        <f aca="false">前提条件!$C$10</f>
        <v>37500</v>
      </c>
      <c r="N114" s="63" t="n">
        <f aca="false">J114-M114</f>
        <v>211091</v>
      </c>
      <c r="O114" s="63" t="n">
        <f aca="false">O113+N114</f>
        <v>22082816</v>
      </c>
      <c r="P114" s="63" t="n">
        <f aca="false">前提条件!$C$8-SUM(M$8:M114)</f>
        <v>487500</v>
      </c>
      <c r="Q114" s="64" t="str">
        <f aca="false">IF(AND(K114&gt;=前提条件!$C$8,K113&lt;前提条件!$C$8),"◀投資回収","")</f>
        <v/>
      </c>
    </row>
    <row r="115" customFormat="false" ht="15" hidden="false" customHeight="false" outlineLevel="0" collapsed="false">
      <c r="A115" s="57" t="n">
        <v>108</v>
      </c>
      <c r="B115" s="58" t="n">
        <f aca="false">EDATE(前提条件!$C$11,A115-1)</f>
        <v>49675</v>
      </c>
      <c r="C115" s="59" t="n">
        <f aca="false">YEAR(B115)+IF(MONTH(B115)&gt;=7,1,0)-2027+48</f>
        <v>57</v>
      </c>
      <c r="D115" s="60" t="n">
        <f aca="false">前提条件!$C$26/365*DAY(EOMONTH(B115,0))</f>
        <v>31</v>
      </c>
      <c r="E115" s="61" t="n">
        <v>1</v>
      </c>
      <c r="F115" s="62" t="n">
        <f aca="false">前提条件!$C$64*D115*E115</f>
        <v>259625</v>
      </c>
      <c r="G115" s="62" t="n">
        <f aca="false">前提条件!$C$65*D115*E115</f>
        <v>2976</v>
      </c>
      <c r="H115" s="62" t="n">
        <f aca="false">(前提条件!$C$66+前提条件!$C$67)*D115</f>
        <v>6510</v>
      </c>
      <c r="I115" s="62" t="n">
        <f aca="false">前提条件!$C$74/12</f>
        <v>7500</v>
      </c>
      <c r="J115" s="63" t="n">
        <f aca="false">F115+G115-H115-I115</f>
        <v>248591</v>
      </c>
      <c r="K115" s="63" t="n">
        <f aca="false">K114+J115</f>
        <v>26343907</v>
      </c>
      <c r="L115" s="63" t="n">
        <f aca="false">MAX(前提条件!$C$8-K115,0)</f>
        <v>0</v>
      </c>
      <c r="M115" s="62" t="n">
        <f aca="false">前提条件!$C$10</f>
        <v>37500</v>
      </c>
      <c r="N115" s="63" t="n">
        <f aca="false">J115-M115</f>
        <v>211091</v>
      </c>
      <c r="O115" s="63" t="n">
        <f aca="false">O114+N115</f>
        <v>22293907</v>
      </c>
      <c r="P115" s="63" t="n">
        <f aca="false">前提条件!$C$8-SUM(M$8:M115)</f>
        <v>450000</v>
      </c>
      <c r="Q115" s="64" t="str">
        <f aca="false">IF(AND(K115&gt;=前提条件!$C$8,K114&lt;前提条件!$C$8),"◀投資回収","")</f>
        <v/>
      </c>
    </row>
    <row r="116" customFormat="false" ht="15" hidden="false" customHeight="false" outlineLevel="0" collapsed="false">
      <c r="A116" s="57" t="n">
        <v>109</v>
      </c>
      <c r="B116" s="58" t="n">
        <f aca="false">EDATE(前提条件!$C$11,A116-1)</f>
        <v>49706</v>
      </c>
      <c r="C116" s="59" t="n">
        <f aca="false">YEAR(B116)+IF(MONTH(B116)&gt;=7,1,0)-2027+48</f>
        <v>57</v>
      </c>
      <c r="D116" s="60" t="n">
        <f aca="false">前提条件!$C$26/365*DAY(EOMONTH(B116,0))</f>
        <v>29</v>
      </c>
      <c r="E116" s="61" t="n">
        <v>1</v>
      </c>
      <c r="F116" s="62" t="n">
        <f aca="false">前提条件!$C$64*D116*E116</f>
        <v>242875</v>
      </c>
      <c r="G116" s="62" t="n">
        <f aca="false">前提条件!$C$65*D116*E116</f>
        <v>2784</v>
      </c>
      <c r="H116" s="62" t="n">
        <f aca="false">(前提条件!$C$66+前提条件!$C$67)*D116</f>
        <v>6090</v>
      </c>
      <c r="I116" s="62" t="n">
        <f aca="false">前提条件!$C$74/12</f>
        <v>7500</v>
      </c>
      <c r="J116" s="63" t="n">
        <f aca="false">F116+G116-H116-I116</f>
        <v>232069</v>
      </c>
      <c r="K116" s="63" t="n">
        <f aca="false">K115+J116</f>
        <v>26575976</v>
      </c>
      <c r="L116" s="63" t="n">
        <f aca="false">MAX(前提条件!$C$8-K116,0)</f>
        <v>0</v>
      </c>
      <c r="M116" s="62" t="n">
        <f aca="false">前提条件!$C$10</f>
        <v>37500</v>
      </c>
      <c r="N116" s="63" t="n">
        <f aca="false">J116-M116</f>
        <v>194569</v>
      </c>
      <c r="O116" s="63" t="n">
        <f aca="false">O115+N116</f>
        <v>22488476</v>
      </c>
      <c r="P116" s="63" t="n">
        <f aca="false">前提条件!$C$8-SUM(M$8:M116)</f>
        <v>412500</v>
      </c>
      <c r="Q116" s="64" t="str">
        <f aca="false">IF(AND(K116&gt;=前提条件!$C$8,K115&lt;前提条件!$C$8),"◀投資回収","")</f>
        <v/>
      </c>
    </row>
    <row r="117" customFormat="false" ht="15" hidden="false" customHeight="false" outlineLevel="0" collapsed="false">
      <c r="A117" s="57" t="n">
        <v>110</v>
      </c>
      <c r="B117" s="58" t="n">
        <f aca="false">EDATE(前提条件!$C$11,A117-1)</f>
        <v>49735</v>
      </c>
      <c r="C117" s="59" t="n">
        <f aca="false">YEAR(B117)+IF(MONTH(B117)&gt;=7,1,0)-2027+48</f>
        <v>57</v>
      </c>
      <c r="D117" s="60" t="n">
        <f aca="false">前提条件!$C$26/365*DAY(EOMONTH(B117,0))</f>
        <v>31</v>
      </c>
      <c r="E117" s="61" t="n">
        <v>1</v>
      </c>
      <c r="F117" s="62" t="n">
        <f aca="false">前提条件!$C$64*D117*E117</f>
        <v>259625</v>
      </c>
      <c r="G117" s="62" t="n">
        <f aca="false">前提条件!$C$65*D117*E117</f>
        <v>2976</v>
      </c>
      <c r="H117" s="62" t="n">
        <f aca="false">(前提条件!$C$66+前提条件!$C$67)*D117</f>
        <v>6510</v>
      </c>
      <c r="I117" s="62" t="n">
        <f aca="false">前提条件!$C$74/12</f>
        <v>7500</v>
      </c>
      <c r="J117" s="63" t="n">
        <f aca="false">F117+G117-H117-I117</f>
        <v>248591</v>
      </c>
      <c r="K117" s="63" t="n">
        <f aca="false">K116+J117</f>
        <v>26824567</v>
      </c>
      <c r="L117" s="63" t="n">
        <f aca="false">MAX(前提条件!$C$8-K117,0)</f>
        <v>0</v>
      </c>
      <c r="M117" s="62" t="n">
        <f aca="false">前提条件!$C$10</f>
        <v>37500</v>
      </c>
      <c r="N117" s="63" t="n">
        <f aca="false">J117-M117</f>
        <v>211091</v>
      </c>
      <c r="O117" s="63" t="n">
        <f aca="false">O116+N117</f>
        <v>22699567</v>
      </c>
      <c r="P117" s="63" t="n">
        <f aca="false">前提条件!$C$8-SUM(M$8:M117)</f>
        <v>375000</v>
      </c>
      <c r="Q117" s="64" t="str">
        <f aca="false">IF(AND(K117&gt;=前提条件!$C$8,K116&lt;前提条件!$C$8),"◀投資回収","")</f>
        <v/>
      </c>
    </row>
    <row r="118" customFormat="false" ht="15" hidden="false" customHeight="false" outlineLevel="0" collapsed="false">
      <c r="A118" s="57" t="n">
        <v>111</v>
      </c>
      <c r="B118" s="58" t="n">
        <f aca="false">EDATE(前提条件!$C$11,A118-1)</f>
        <v>49766</v>
      </c>
      <c r="C118" s="59" t="n">
        <f aca="false">YEAR(B118)+IF(MONTH(B118)&gt;=7,1,0)-2027+48</f>
        <v>57</v>
      </c>
      <c r="D118" s="60" t="n">
        <f aca="false">前提条件!$C$26/365*DAY(EOMONTH(B118,0))</f>
        <v>30</v>
      </c>
      <c r="E118" s="61" t="n">
        <v>1</v>
      </c>
      <c r="F118" s="62" t="n">
        <f aca="false">前提条件!$C$64*D118*E118</f>
        <v>251250</v>
      </c>
      <c r="G118" s="62" t="n">
        <f aca="false">前提条件!$C$65*D118*E118</f>
        <v>2880</v>
      </c>
      <c r="H118" s="62" t="n">
        <f aca="false">(前提条件!$C$66+前提条件!$C$67)*D118</f>
        <v>6300</v>
      </c>
      <c r="I118" s="62" t="n">
        <f aca="false">前提条件!$C$74/12</f>
        <v>7500</v>
      </c>
      <c r="J118" s="63" t="n">
        <f aca="false">F118+G118-H118-I118</f>
        <v>240330</v>
      </c>
      <c r="K118" s="63" t="n">
        <f aca="false">K117+J118</f>
        <v>27064897</v>
      </c>
      <c r="L118" s="63" t="n">
        <f aca="false">MAX(前提条件!$C$8-K118,0)</f>
        <v>0</v>
      </c>
      <c r="M118" s="62" t="n">
        <f aca="false">前提条件!$C$10</f>
        <v>37500</v>
      </c>
      <c r="N118" s="63" t="n">
        <f aca="false">J118-M118</f>
        <v>202830</v>
      </c>
      <c r="O118" s="63" t="n">
        <f aca="false">O117+N118</f>
        <v>22902397</v>
      </c>
      <c r="P118" s="63" t="n">
        <f aca="false">前提条件!$C$8-SUM(M$8:M118)</f>
        <v>337500</v>
      </c>
      <c r="Q118" s="64" t="str">
        <f aca="false">IF(AND(K118&gt;=前提条件!$C$8,K117&lt;前提条件!$C$8),"◀投資回収","")</f>
        <v/>
      </c>
    </row>
    <row r="119" customFormat="false" ht="15" hidden="false" customHeight="false" outlineLevel="0" collapsed="false">
      <c r="A119" s="57" t="n">
        <v>112</v>
      </c>
      <c r="B119" s="58" t="n">
        <f aca="false">EDATE(前提条件!$C$11,A119-1)</f>
        <v>49796</v>
      </c>
      <c r="C119" s="59" t="n">
        <f aca="false">YEAR(B119)+IF(MONTH(B119)&gt;=7,1,0)-2027+48</f>
        <v>57</v>
      </c>
      <c r="D119" s="60" t="n">
        <f aca="false">前提条件!$C$26/365*DAY(EOMONTH(B119,0))</f>
        <v>31</v>
      </c>
      <c r="E119" s="61" t="n">
        <v>1</v>
      </c>
      <c r="F119" s="62" t="n">
        <f aca="false">前提条件!$C$64*D119*E119</f>
        <v>259625</v>
      </c>
      <c r="G119" s="62" t="n">
        <f aca="false">前提条件!$C$65*D119*E119</f>
        <v>2976</v>
      </c>
      <c r="H119" s="62" t="n">
        <f aca="false">(前提条件!$C$66+前提条件!$C$67)*D119</f>
        <v>6510</v>
      </c>
      <c r="I119" s="62" t="n">
        <f aca="false">前提条件!$C$74/12</f>
        <v>7500</v>
      </c>
      <c r="J119" s="63" t="n">
        <f aca="false">F119+G119-H119-I119</f>
        <v>248591</v>
      </c>
      <c r="K119" s="63" t="n">
        <f aca="false">K118+J119</f>
        <v>27313488</v>
      </c>
      <c r="L119" s="63" t="n">
        <f aca="false">MAX(前提条件!$C$8-K119,0)</f>
        <v>0</v>
      </c>
      <c r="M119" s="62" t="n">
        <f aca="false">前提条件!$C$10</f>
        <v>37500</v>
      </c>
      <c r="N119" s="63" t="n">
        <f aca="false">J119-M119</f>
        <v>211091</v>
      </c>
      <c r="O119" s="63" t="n">
        <f aca="false">O118+N119</f>
        <v>23113488</v>
      </c>
      <c r="P119" s="63" t="n">
        <f aca="false">前提条件!$C$8-SUM(M$8:M119)</f>
        <v>300000</v>
      </c>
      <c r="Q119" s="64" t="str">
        <f aca="false">IF(AND(K119&gt;=前提条件!$C$8,K118&lt;前提条件!$C$8),"◀投資回収","")</f>
        <v/>
      </c>
    </row>
    <row r="120" customFormat="false" ht="15" hidden="false" customHeight="false" outlineLevel="0" collapsed="false">
      <c r="A120" s="57" t="n">
        <v>113</v>
      </c>
      <c r="B120" s="58" t="n">
        <f aca="false">EDATE(前提条件!$C$11,A120-1)</f>
        <v>49827</v>
      </c>
      <c r="C120" s="59" t="n">
        <f aca="false">YEAR(B120)+IF(MONTH(B120)&gt;=7,1,0)-2027+48</f>
        <v>57</v>
      </c>
      <c r="D120" s="60" t="n">
        <f aca="false">前提条件!$C$26/365*DAY(EOMONTH(B120,0))</f>
        <v>30</v>
      </c>
      <c r="E120" s="61" t="n">
        <v>1</v>
      </c>
      <c r="F120" s="62" t="n">
        <f aca="false">前提条件!$C$64*D120*E120</f>
        <v>251250</v>
      </c>
      <c r="G120" s="62" t="n">
        <f aca="false">前提条件!$C$65*D120*E120</f>
        <v>2880</v>
      </c>
      <c r="H120" s="62" t="n">
        <f aca="false">(前提条件!$C$66+前提条件!$C$67)*D120</f>
        <v>6300</v>
      </c>
      <c r="I120" s="62" t="n">
        <f aca="false">前提条件!$C$74/12</f>
        <v>7500</v>
      </c>
      <c r="J120" s="63" t="n">
        <f aca="false">F120+G120-H120-I120</f>
        <v>240330</v>
      </c>
      <c r="K120" s="63" t="n">
        <f aca="false">K119+J120</f>
        <v>27553818</v>
      </c>
      <c r="L120" s="63" t="n">
        <f aca="false">MAX(前提条件!$C$8-K120,0)</f>
        <v>0</v>
      </c>
      <c r="M120" s="62" t="n">
        <f aca="false">前提条件!$C$10</f>
        <v>37500</v>
      </c>
      <c r="N120" s="63" t="n">
        <f aca="false">J120-M120</f>
        <v>202830</v>
      </c>
      <c r="O120" s="63" t="n">
        <f aca="false">O119+N120</f>
        <v>23316318</v>
      </c>
      <c r="P120" s="63" t="n">
        <f aca="false">前提条件!$C$8-SUM(M$8:M120)</f>
        <v>262500</v>
      </c>
      <c r="Q120" s="64" t="str">
        <f aca="false">IF(AND(K120&gt;=前提条件!$C$8,K119&lt;前提条件!$C$8),"◀投資回収","")</f>
        <v/>
      </c>
    </row>
    <row r="121" customFormat="false" ht="15" hidden="false" customHeight="false" outlineLevel="0" collapsed="false">
      <c r="A121" s="57" t="n">
        <v>114</v>
      </c>
      <c r="B121" s="58" t="n">
        <f aca="false">EDATE(前提条件!$C$11,A121-1)</f>
        <v>49857</v>
      </c>
      <c r="C121" s="59" t="n">
        <f aca="false">YEAR(B121)+IF(MONTH(B121)&gt;=7,1,0)-2027+48</f>
        <v>58</v>
      </c>
      <c r="D121" s="60" t="n">
        <f aca="false">前提条件!$C$26/365*DAY(EOMONTH(B121,0))</f>
        <v>31</v>
      </c>
      <c r="E121" s="61" t="n">
        <v>1</v>
      </c>
      <c r="F121" s="62" t="n">
        <f aca="false">前提条件!$C$64*D121*E121</f>
        <v>259625</v>
      </c>
      <c r="G121" s="62" t="n">
        <f aca="false">前提条件!$C$65*D121*E121</f>
        <v>2976</v>
      </c>
      <c r="H121" s="62" t="n">
        <f aca="false">(前提条件!$C$66+前提条件!$C$67)*D121</f>
        <v>6510</v>
      </c>
      <c r="I121" s="62" t="n">
        <f aca="false">前提条件!$C$74/12</f>
        <v>7500</v>
      </c>
      <c r="J121" s="63" t="n">
        <f aca="false">F121+G121-H121-I121</f>
        <v>248591</v>
      </c>
      <c r="K121" s="63" t="n">
        <f aca="false">K120+J121</f>
        <v>27802409</v>
      </c>
      <c r="L121" s="63" t="n">
        <f aca="false">MAX(前提条件!$C$8-K121,0)</f>
        <v>0</v>
      </c>
      <c r="M121" s="62" t="n">
        <f aca="false">前提条件!$C$10</f>
        <v>37500</v>
      </c>
      <c r="N121" s="63" t="n">
        <f aca="false">J121-M121</f>
        <v>211091</v>
      </c>
      <c r="O121" s="63" t="n">
        <f aca="false">O120+N121</f>
        <v>23527409</v>
      </c>
      <c r="P121" s="63" t="n">
        <f aca="false">前提条件!$C$8-SUM(M$8:M121)</f>
        <v>225000</v>
      </c>
      <c r="Q121" s="64" t="str">
        <f aca="false">IF(AND(K121&gt;=前提条件!$C$8,K120&lt;前提条件!$C$8),"◀投資回収","")</f>
        <v/>
      </c>
    </row>
    <row r="122" customFormat="false" ht="15" hidden="false" customHeight="false" outlineLevel="0" collapsed="false">
      <c r="A122" s="57" t="n">
        <v>115</v>
      </c>
      <c r="B122" s="58" t="n">
        <f aca="false">EDATE(前提条件!$C$11,A122-1)</f>
        <v>49888</v>
      </c>
      <c r="C122" s="59" t="n">
        <f aca="false">YEAR(B122)+IF(MONTH(B122)&gt;=7,1,0)-2027+48</f>
        <v>58</v>
      </c>
      <c r="D122" s="60" t="n">
        <f aca="false">前提条件!$C$26/365*DAY(EOMONTH(B122,0))</f>
        <v>31</v>
      </c>
      <c r="E122" s="61" t="n">
        <v>1</v>
      </c>
      <c r="F122" s="62" t="n">
        <f aca="false">前提条件!$C$64*D122*E122</f>
        <v>259625</v>
      </c>
      <c r="G122" s="62" t="n">
        <f aca="false">前提条件!$C$65*D122*E122</f>
        <v>2976</v>
      </c>
      <c r="H122" s="62" t="n">
        <f aca="false">(前提条件!$C$66+前提条件!$C$67)*D122</f>
        <v>6510</v>
      </c>
      <c r="I122" s="62" t="n">
        <f aca="false">前提条件!$C$74/12</f>
        <v>7500</v>
      </c>
      <c r="J122" s="63" t="n">
        <f aca="false">F122+G122-H122-I122</f>
        <v>248591</v>
      </c>
      <c r="K122" s="63" t="n">
        <f aca="false">K121+J122</f>
        <v>28051000</v>
      </c>
      <c r="L122" s="63" t="n">
        <f aca="false">MAX(前提条件!$C$8-K122,0)</f>
        <v>0</v>
      </c>
      <c r="M122" s="62" t="n">
        <f aca="false">前提条件!$C$10</f>
        <v>37500</v>
      </c>
      <c r="N122" s="63" t="n">
        <f aca="false">J122-M122</f>
        <v>211091</v>
      </c>
      <c r="O122" s="63" t="n">
        <f aca="false">O121+N122</f>
        <v>23738500</v>
      </c>
      <c r="P122" s="63" t="n">
        <f aca="false">前提条件!$C$8-SUM(M$8:M122)</f>
        <v>187500</v>
      </c>
      <c r="Q122" s="64" t="str">
        <f aca="false">IF(AND(K122&gt;=前提条件!$C$8,K121&lt;前提条件!$C$8),"◀投資回収","")</f>
        <v/>
      </c>
    </row>
    <row r="123" customFormat="false" ht="15" hidden="false" customHeight="false" outlineLevel="0" collapsed="false">
      <c r="A123" s="57" t="n">
        <v>116</v>
      </c>
      <c r="B123" s="58" t="n">
        <f aca="false">EDATE(前提条件!$C$11,A123-1)</f>
        <v>49919</v>
      </c>
      <c r="C123" s="59" t="n">
        <f aca="false">YEAR(B123)+IF(MONTH(B123)&gt;=7,1,0)-2027+48</f>
        <v>58</v>
      </c>
      <c r="D123" s="60" t="n">
        <f aca="false">前提条件!$C$26/365*DAY(EOMONTH(B123,0))</f>
        <v>30</v>
      </c>
      <c r="E123" s="61" t="n">
        <v>1</v>
      </c>
      <c r="F123" s="62" t="n">
        <f aca="false">前提条件!$C$64*D123*E123</f>
        <v>251250</v>
      </c>
      <c r="G123" s="62" t="n">
        <f aca="false">前提条件!$C$65*D123*E123</f>
        <v>2880</v>
      </c>
      <c r="H123" s="62" t="n">
        <f aca="false">(前提条件!$C$66+前提条件!$C$67)*D123</f>
        <v>6300</v>
      </c>
      <c r="I123" s="62" t="n">
        <f aca="false">前提条件!$C$74/12</f>
        <v>7500</v>
      </c>
      <c r="J123" s="63" t="n">
        <f aca="false">F123+G123-H123-I123</f>
        <v>240330</v>
      </c>
      <c r="K123" s="63" t="n">
        <f aca="false">K122+J123</f>
        <v>28291330</v>
      </c>
      <c r="L123" s="63" t="n">
        <f aca="false">MAX(前提条件!$C$8-K123,0)</f>
        <v>0</v>
      </c>
      <c r="M123" s="62" t="n">
        <f aca="false">前提条件!$C$10</f>
        <v>37500</v>
      </c>
      <c r="N123" s="63" t="n">
        <f aca="false">J123-M123</f>
        <v>202830</v>
      </c>
      <c r="O123" s="63" t="n">
        <f aca="false">O122+N123</f>
        <v>23941330</v>
      </c>
      <c r="P123" s="63" t="n">
        <f aca="false">前提条件!$C$8-SUM(M$8:M123)</f>
        <v>150000</v>
      </c>
      <c r="Q123" s="64" t="str">
        <f aca="false">IF(AND(K123&gt;=前提条件!$C$8,K122&lt;前提条件!$C$8),"◀投資回収","")</f>
        <v/>
      </c>
    </row>
    <row r="124" customFormat="false" ht="15" hidden="false" customHeight="false" outlineLevel="0" collapsed="false">
      <c r="A124" s="57" t="n">
        <v>117</v>
      </c>
      <c r="B124" s="58" t="n">
        <f aca="false">EDATE(前提条件!$C$11,A124-1)</f>
        <v>49949</v>
      </c>
      <c r="C124" s="59" t="n">
        <f aca="false">YEAR(B124)+IF(MONTH(B124)&gt;=7,1,0)-2027+48</f>
        <v>58</v>
      </c>
      <c r="D124" s="60" t="n">
        <f aca="false">前提条件!$C$26/365*DAY(EOMONTH(B124,0))</f>
        <v>31</v>
      </c>
      <c r="E124" s="61" t="n">
        <v>1</v>
      </c>
      <c r="F124" s="62" t="n">
        <f aca="false">前提条件!$C$64*D124*E124</f>
        <v>259625</v>
      </c>
      <c r="G124" s="62" t="n">
        <f aca="false">前提条件!$C$65*D124*E124</f>
        <v>2976</v>
      </c>
      <c r="H124" s="62" t="n">
        <f aca="false">(前提条件!$C$66+前提条件!$C$67)*D124</f>
        <v>6510</v>
      </c>
      <c r="I124" s="62" t="n">
        <f aca="false">前提条件!$C$74/12</f>
        <v>7500</v>
      </c>
      <c r="J124" s="63" t="n">
        <f aca="false">F124+G124-H124-I124</f>
        <v>248591</v>
      </c>
      <c r="K124" s="63" t="n">
        <f aca="false">K123+J124</f>
        <v>28539921</v>
      </c>
      <c r="L124" s="63" t="n">
        <f aca="false">MAX(前提条件!$C$8-K124,0)</f>
        <v>0</v>
      </c>
      <c r="M124" s="62" t="n">
        <f aca="false">前提条件!$C$10</f>
        <v>37500</v>
      </c>
      <c r="N124" s="63" t="n">
        <f aca="false">J124-M124</f>
        <v>211091</v>
      </c>
      <c r="O124" s="63" t="n">
        <f aca="false">O123+N124</f>
        <v>24152421</v>
      </c>
      <c r="P124" s="63" t="n">
        <f aca="false">前提条件!$C$8-SUM(M$8:M124)</f>
        <v>112500</v>
      </c>
      <c r="Q124" s="64" t="str">
        <f aca="false">IF(AND(K124&gt;=前提条件!$C$8,K123&lt;前提条件!$C$8),"◀投資回収","")</f>
        <v/>
      </c>
    </row>
    <row r="125" customFormat="false" ht="15" hidden="false" customHeight="false" outlineLevel="0" collapsed="false">
      <c r="A125" s="57" t="n">
        <v>118</v>
      </c>
      <c r="B125" s="58" t="n">
        <f aca="false">EDATE(前提条件!$C$11,A125-1)</f>
        <v>49980</v>
      </c>
      <c r="C125" s="59" t="n">
        <f aca="false">YEAR(B125)+IF(MONTH(B125)&gt;=7,1,0)-2027+48</f>
        <v>58</v>
      </c>
      <c r="D125" s="60" t="n">
        <f aca="false">前提条件!$C$26/365*DAY(EOMONTH(B125,0))</f>
        <v>30</v>
      </c>
      <c r="E125" s="61" t="n">
        <v>1</v>
      </c>
      <c r="F125" s="62" t="n">
        <f aca="false">前提条件!$C$64*D125*E125</f>
        <v>251250</v>
      </c>
      <c r="G125" s="62" t="n">
        <f aca="false">前提条件!$C$65*D125*E125</f>
        <v>2880</v>
      </c>
      <c r="H125" s="62" t="n">
        <f aca="false">(前提条件!$C$66+前提条件!$C$67)*D125</f>
        <v>6300</v>
      </c>
      <c r="I125" s="62" t="n">
        <f aca="false">前提条件!$C$74/12</f>
        <v>7500</v>
      </c>
      <c r="J125" s="63" t="n">
        <f aca="false">F125+G125-H125-I125</f>
        <v>240330</v>
      </c>
      <c r="K125" s="63" t="n">
        <f aca="false">K124+J125</f>
        <v>28780251</v>
      </c>
      <c r="L125" s="63" t="n">
        <f aca="false">MAX(前提条件!$C$8-K125,0)</f>
        <v>0</v>
      </c>
      <c r="M125" s="62" t="n">
        <f aca="false">前提条件!$C$10</f>
        <v>37500</v>
      </c>
      <c r="N125" s="63" t="n">
        <f aca="false">J125-M125</f>
        <v>202830</v>
      </c>
      <c r="O125" s="63" t="n">
        <f aca="false">O124+N125</f>
        <v>24355251</v>
      </c>
      <c r="P125" s="63" t="n">
        <f aca="false">前提条件!$C$8-SUM(M$8:M125)</f>
        <v>75000</v>
      </c>
      <c r="Q125" s="64" t="str">
        <f aca="false">IF(AND(K125&gt;=前提条件!$C$8,K124&lt;前提条件!$C$8),"◀投資回収","")</f>
        <v/>
      </c>
    </row>
    <row r="126" customFormat="false" ht="15" hidden="false" customHeight="false" outlineLevel="0" collapsed="false">
      <c r="A126" s="57" t="n">
        <v>119</v>
      </c>
      <c r="B126" s="58" t="n">
        <f aca="false">EDATE(前提条件!$C$11,A126-1)</f>
        <v>50010</v>
      </c>
      <c r="C126" s="59" t="n">
        <f aca="false">YEAR(B126)+IF(MONTH(B126)&gt;=7,1,0)-2027+48</f>
        <v>58</v>
      </c>
      <c r="D126" s="60" t="n">
        <f aca="false">前提条件!$C$26/365*DAY(EOMONTH(B126,0))</f>
        <v>31</v>
      </c>
      <c r="E126" s="61" t="n">
        <v>1</v>
      </c>
      <c r="F126" s="62" t="n">
        <f aca="false">前提条件!$C$64*D126*E126</f>
        <v>259625</v>
      </c>
      <c r="G126" s="62" t="n">
        <f aca="false">前提条件!$C$65*D126*E126</f>
        <v>2976</v>
      </c>
      <c r="H126" s="62" t="n">
        <f aca="false">(前提条件!$C$66+前提条件!$C$67)*D126</f>
        <v>6510</v>
      </c>
      <c r="I126" s="62" t="n">
        <f aca="false">前提条件!$C$74/12</f>
        <v>7500</v>
      </c>
      <c r="J126" s="63" t="n">
        <f aca="false">F126+G126-H126-I126</f>
        <v>248591</v>
      </c>
      <c r="K126" s="63" t="n">
        <f aca="false">K125+J126</f>
        <v>29028842</v>
      </c>
      <c r="L126" s="63" t="n">
        <f aca="false">MAX(前提条件!$C$8-K126,0)</f>
        <v>0</v>
      </c>
      <c r="M126" s="62" t="n">
        <f aca="false">前提条件!$C$10</f>
        <v>37500</v>
      </c>
      <c r="N126" s="63" t="n">
        <f aca="false">J126-M126</f>
        <v>211091</v>
      </c>
      <c r="O126" s="63" t="n">
        <f aca="false">O125+N126</f>
        <v>24566342</v>
      </c>
      <c r="P126" s="63" t="n">
        <f aca="false">前提条件!$C$8-SUM(M$8:M126)</f>
        <v>37500</v>
      </c>
      <c r="Q126" s="64" t="str">
        <f aca="false">IF(AND(K126&gt;=前提条件!$C$8,K125&lt;前提条件!$C$8),"◀投資回収","")</f>
        <v/>
      </c>
    </row>
    <row r="127" customFormat="false" ht="15" hidden="false" customHeight="false" outlineLevel="0" collapsed="false">
      <c r="A127" s="57" t="n">
        <v>120</v>
      </c>
      <c r="B127" s="58" t="n">
        <f aca="false">EDATE(前提条件!$C$11,A127-1)</f>
        <v>50041</v>
      </c>
      <c r="C127" s="59" t="n">
        <f aca="false">YEAR(B127)+IF(MONTH(B127)&gt;=7,1,0)-2027+48</f>
        <v>58</v>
      </c>
      <c r="D127" s="60" t="n">
        <f aca="false">前提条件!$C$26/365*DAY(EOMONTH(B127,0))</f>
        <v>31</v>
      </c>
      <c r="E127" s="61" t="n">
        <v>1</v>
      </c>
      <c r="F127" s="62" t="n">
        <f aca="false">前提条件!$C$64*D127*E127</f>
        <v>259625</v>
      </c>
      <c r="G127" s="62" t="n">
        <f aca="false">前提条件!$C$65*D127*E127</f>
        <v>2976</v>
      </c>
      <c r="H127" s="62" t="n">
        <f aca="false">(前提条件!$C$66+前提条件!$C$67)*D127</f>
        <v>6510</v>
      </c>
      <c r="I127" s="62" t="n">
        <f aca="false">前提条件!$C$74/12</f>
        <v>7500</v>
      </c>
      <c r="J127" s="63" t="n">
        <f aca="false">F127+G127-H127-I127</f>
        <v>248591</v>
      </c>
      <c r="K127" s="63" t="n">
        <f aca="false">K126+J127</f>
        <v>29277433</v>
      </c>
      <c r="L127" s="63" t="n">
        <f aca="false">MAX(前提条件!$C$8-K127,0)</f>
        <v>0</v>
      </c>
      <c r="M127" s="62" t="n">
        <f aca="false">前提条件!$C$10</f>
        <v>37500</v>
      </c>
      <c r="N127" s="63" t="n">
        <f aca="false">J127-M127</f>
        <v>211091</v>
      </c>
      <c r="O127" s="63" t="n">
        <f aca="false">O126+N127</f>
        <v>24777433</v>
      </c>
      <c r="P127" s="63" t="n">
        <f aca="false">前提条件!$C$8-SUM(M$8:M127)</f>
        <v>0</v>
      </c>
      <c r="Q127" s="64" t="str">
        <f aca="false">IF(AND(K127&gt;=前提条件!$C$8,K126&lt;前提条件!$C$8),"◀投資回収","")</f>
        <v/>
      </c>
    </row>
  </sheetData>
  <conditionalFormatting sqref="A8:Q127">
    <cfRule type="expression" priority="2" aboveAverage="0" equalAverage="0" bottom="0" percent="0" rank="0" text="" dxfId="0">
      <formula>$Q8&lt;&gt;""</formula>
    </cfRule>
    <cfRule type="expression" priority="3" aboveAverage="0" equalAverage="0" bottom="0" percent="0" rank="0" text="" dxfId="1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11" min="5" style="0" width="14"/>
  </cols>
  <sheetData>
    <row r="1" customFormat="false" ht="19.4" hidden="false" customHeight="false" outlineLevel="0" collapsed="false">
      <c r="B1" s="32" t="s">
        <v>202</v>
      </c>
    </row>
    <row r="2" customFormat="false" ht="15" hidden="false" customHeight="false" outlineLevel="0" collapsed="false">
      <c r="B2" s="12" t="s">
        <v>203</v>
      </c>
    </row>
    <row r="4" customFormat="false" ht="30" hidden="false" customHeight="true" outlineLevel="0" collapsed="false">
      <c r="B4" s="25" t="s">
        <v>187</v>
      </c>
      <c r="C4" s="25" t="s">
        <v>204</v>
      </c>
      <c r="D4" s="25" t="s">
        <v>205</v>
      </c>
      <c r="E4" s="25" t="s">
        <v>206</v>
      </c>
      <c r="F4" s="25" t="s">
        <v>197</v>
      </c>
      <c r="G4" s="25" t="s">
        <v>207</v>
      </c>
      <c r="H4" s="25" t="s">
        <v>195</v>
      </c>
      <c r="I4" s="25" t="s">
        <v>196</v>
      </c>
      <c r="J4" s="25" t="s">
        <v>200</v>
      </c>
      <c r="K4" s="25" t="s">
        <v>199</v>
      </c>
    </row>
    <row r="5" customFormat="false" ht="15" hidden="false" customHeight="false" outlineLevel="0" collapsed="false">
      <c r="B5" s="65" t="n">
        <v>48</v>
      </c>
      <c r="C5" s="66" t="str">
        <f aca="false">"2026年7月〜2027年6月"</f>
        <v>2026年7月〜2027年6月</v>
      </c>
      <c r="D5" s="44" t="n">
        <f aca="false">COUNTIF(投資回収_月次!$C$8:$C$127,B5)</f>
        <v>5</v>
      </c>
      <c r="E5" s="27" t="n">
        <f aca="false">SUMIFS(投資回収_月次!$J$8:$J$127,投資回収_月次!$C$8:$C$127,B5)</f>
        <v>1201650</v>
      </c>
      <c r="F5" s="27" t="n">
        <f aca="false">SUMIFS(投資回収_月次!$M$8:$M$127,投資回収_月次!$C$8:$C$127,B5)</f>
        <v>187500</v>
      </c>
      <c r="G5" s="36" t="n">
        <f aca="false">E5-F5</f>
        <v>1014150</v>
      </c>
      <c r="H5" s="36" t="n">
        <f aca="false">SUM(E$5:E5)</f>
        <v>1201650</v>
      </c>
      <c r="I5" s="36" t="n">
        <f aca="false">MAX(前提条件!$C$8-H5,0)</f>
        <v>3298350</v>
      </c>
      <c r="J5" s="36" t="n">
        <f aca="false">前提条件!$C$8-SUM(F$5:F5)</f>
        <v>4312500</v>
      </c>
      <c r="K5" s="36" t="n">
        <f aca="false">SUM(G$5:G5)</f>
        <v>1014150</v>
      </c>
    </row>
    <row r="6" customFormat="false" ht="15" hidden="false" customHeight="false" outlineLevel="0" collapsed="false">
      <c r="B6" s="65" t="n">
        <v>49</v>
      </c>
      <c r="C6" s="66" t="str">
        <f aca="false">"2027年7月〜2028年6月"</f>
        <v>2027年7月〜2028年6月</v>
      </c>
      <c r="D6" s="44" t="n">
        <f aca="false">COUNTIF(投資回収_月次!$C$8:$C$127,B6)</f>
        <v>12</v>
      </c>
      <c r="E6" s="27" t="n">
        <f aca="false">SUMIFS(投資回収_月次!$J$8:$J$127,投資回収_月次!$C$8:$C$127,B6)</f>
        <v>2933526</v>
      </c>
      <c r="F6" s="27" t="n">
        <f aca="false">SUMIFS(投資回収_月次!$M$8:$M$127,投資回収_月次!$C$8:$C$127,B6)</f>
        <v>450000</v>
      </c>
      <c r="G6" s="36" t="n">
        <f aca="false">E6-F6</f>
        <v>2483526</v>
      </c>
      <c r="H6" s="36" t="n">
        <f aca="false">SUM(E$5:E6)</f>
        <v>4135176</v>
      </c>
      <c r="I6" s="36" t="n">
        <f aca="false">MAX(前提条件!$C$8-H6,0)</f>
        <v>364824</v>
      </c>
      <c r="J6" s="36" t="n">
        <f aca="false">前提条件!$C$8-SUM(F$5:F6)</f>
        <v>3862500</v>
      </c>
      <c r="K6" s="36" t="n">
        <f aca="false">SUM(G$5:G6)</f>
        <v>3497676</v>
      </c>
    </row>
    <row r="7" customFormat="false" ht="15" hidden="false" customHeight="false" outlineLevel="0" collapsed="false">
      <c r="B7" s="65" t="n">
        <v>50</v>
      </c>
      <c r="C7" s="66" t="str">
        <f aca="false">"2028年7月〜2029年6月"</f>
        <v>2028年7月〜2029年6月</v>
      </c>
      <c r="D7" s="44" t="n">
        <f aca="false">COUNTIF(投資回収_月次!$C$8:$C$127,B7)</f>
        <v>12</v>
      </c>
      <c r="E7" s="27" t="n">
        <f aca="false">SUMIFS(投資回収_月次!$J$8:$J$127,投資回収_月次!$C$8:$C$127,B7)</f>
        <v>2925265</v>
      </c>
      <c r="F7" s="27" t="n">
        <f aca="false">SUMIFS(投資回収_月次!$M$8:$M$127,投資回収_月次!$C$8:$C$127,B7)</f>
        <v>450000</v>
      </c>
      <c r="G7" s="36" t="n">
        <f aca="false">E7-F7</f>
        <v>2475265</v>
      </c>
      <c r="H7" s="36" t="n">
        <f aca="false">SUM(E$5:E7)</f>
        <v>7060441</v>
      </c>
      <c r="I7" s="36" t="n">
        <f aca="false">MAX(前提条件!$C$8-H7,0)</f>
        <v>0</v>
      </c>
      <c r="J7" s="36" t="n">
        <f aca="false">前提条件!$C$8-SUM(F$5:F7)</f>
        <v>3412500</v>
      </c>
      <c r="K7" s="36" t="n">
        <f aca="false">SUM(G$5:G7)</f>
        <v>5972941</v>
      </c>
    </row>
    <row r="8" customFormat="false" ht="15" hidden="false" customHeight="false" outlineLevel="0" collapsed="false">
      <c r="B8" s="65" t="n">
        <v>51</v>
      </c>
      <c r="C8" s="66" t="str">
        <f aca="false">"2029年7月〜2030年6月"</f>
        <v>2029年7月〜2030年6月</v>
      </c>
      <c r="D8" s="44" t="n">
        <f aca="false">COUNTIF(投資回収_月次!$C$8:$C$127,B8)</f>
        <v>12</v>
      </c>
      <c r="E8" s="27" t="n">
        <f aca="false">SUMIFS(投資回収_月次!$J$8:$J$127,投資回収_月次!$C$8:$C$127,B8)</f>
        <v>2925265</v>
      </c>
      <c r="F8" s="27" t="n">
        <f aca="false">SUMIFS(投資回収_月次!$M$8:$M$127,投資回収_月次!$C$8:$C$127,B8)</f>
        <v>450000</v>
      </c>
      <c r="G8" s="36" t="n">
        <f aca="false">E8-F8</f>
        <v>2475265</v>
      </c>
      <c r="H8" s="36" t="n">
        <f aca="false">SUM(E$5:E8)</f>
        <v>9985706</v>
      </c>
      <c r="I8" s="36" t="n">
        <f aca="false">MAX(前提条件!$C$8-H8,0)</f>
        <v>0</v>
      </c>
      <c r="J8" s="36" t="n">
        <f aca="false">前提条件!$C$8-SUM(F$5:F8)</f>
        <v>2962500</v>
      </c>
      <c r="K8" s="36" t="n">
        <f aca="false">SUM(G$5:G8)</f>
        <v>8448206</v>
      </c>
    </row>
    <row r="9" customFormat="false" ht="15" hidden="false" customHeight="false" outlineLevel="0" collapsed="false">
      <c r="B9" s="65" t="n">
        <v>52</v>
      </c>
      <c r="C9" s="66" t="str">
        <f aca="false">"2030年7月〜2031年6月"</f>
        <v>2030年7月〜2031年6月</v>
      </c>
      <c r="D9" s="44" t="n">
        <f aca="false">COUNTIF(投資回収_月次!$C$8:$C$127,B9)</f>
        <v>12</v>
      </c>
      <c r="E9" s="27" t="n">
        <f aca="false">SUMIFS(投資回収_月次!$J$8:$J$127,投資回収_月次!$C$8:$C$127,B9)</f>
        <v>2925265</v>
      </c>
      <c r="F9" s="27" t="n">
        <f aca="false">SUMIFS(投資回収_月次!$M$8:$M$127,投資回収_月次!$C$8:$C$127,B9)</f>
        <v>450000</v>
      </c>
      <c r="G9" s="36" t="n">
        <f aca="false">E9-F9</f>
        <v>2475265</v>
      </c>
      <c r="H9" s="36" t="n">
        <f aca="false">SUM(E$5:E9)</f>
        <v>12910971</v>
      </c>
      <c r="I9" s="36" t="n">
        <f aca="false">MAX(前提条件!$C$8-H9,0)</f>
        <v>0</v>
      </c>
      <c r="J9" s="36" t="n">
        <f aca="false">前提条件!$C$8-SUM(F$5:F9)</f>
        <v>2512500</v>
      </c>
      <c r="K9" s="36" t="n">
        <f aca="false">SUM(G$5:G9)</f>
        <v>10923471</v>
      </c>
    </row>
    <row r="10" customFormat="false" ht="15" hidden="false" customHeight="false" outlineLevel="0" collapsed="false">
      <c r="B10" s="65" t="n">
        <v>53</v>
      </c>
      <c r="C10" s="66" t="str">
        <f aca="false">"2031年7月〜2032年6月"</f>
        <v>2031年7月〜2032年6月</v>
      </c>
      <c r="D10" s="44" t="n">
        <f aca="false">COUNTIF(投資回収_月次!$C$8:$C$127,B10)</f>
        <v>12</v>
      </c>
      <c r="E10" s="27" t="n">
        <f aca="false">SUMIFS(投資回収_月次!$J$8:$J$127,投資回収_月次!$C$8:$C$127,B10)</f>
        <v>2933526</v>
      </c>
      <c r="F10" s="27" t="n">
        <f aca="false">SUMIFS(投資回収_月次!$M$8:$M$127,投資回収_月次!$C$8:$C$127,B10)</f>
        <v>450000</v>
      </c>
      <c r="G10" s="36" t="n">
        <f aca="false">E10-F10</f>
        <v>2483526</v>
      </c>
      <c r="H10" s="36" t="n">
        <f aca="false">SUM(E$5:E10)</f>
        <v>15844497</v>
      </c>
      <c r="I10" s="36" t="n">
        <f aca="false">MAX(前提条件!$C$8-H10,0)</f>
        <v>0</v>
      </c>
      <c r="J10" s="36" t="n">
        <f aca="false">前提条件!$C$8-SUM(F$5:F10)</f>
        <v>2062500</v>
      </c>
      <c r="K10" s="36" t="n">
        <f aca="false">SUM(G$5:G10)</f>
        <v>13406997</v>
      </c>
    </row>
    <row r="11" customFormat="false" ht="15" hidden="false" customHeight="false" outlineLevel="0" collapsed="false">
      <c r="B11" s="65" t="n">
        <v>54</v>
      </c>
      <c r="C11" s="66" t="str">
        <f aca="false">"2032年7月〜2033年6月"</f>
        <v>2032年7月〜2033年6月</v>
      </c>
      <c r="D11" s="44" t="n">
        <f aca="false">COUNTIF(投資回収_月次!$C$8:$C$127,B11)</f>
        <v>12</v>
      </c>
      <c r="E11" s="27" t="n">
        <f aca="false">SUMIFS(投資回収_月次!$J$8:$J$127,投資回収_月次!$C$8:$C$127,B11)</f>
        <v>2925265</v>
      </c>
      <c r="F11" s="27" t="n">
        <f aca="false">SUMIFS(投資回収_月次!$M$8:$M$127,投資回収_月次!$C$8:$C$127,B11)</f>
        <v>450000</v>
      </c>
      <c r="G11" s="36" t="n">
        <f aca="false">E11-F11</f>
        <v>2475265</v>
      </c>
      <c r="H11" s="36" t="n">
        <f aca="false">SUM(E$5:E11)</f>
        <v>18769762</v>
      </c>
      <c r="I11" s="36" t="n">
        <f aca="false">MAX(前提条件!$C$8-H11,0)</f>
        <v>0</v>
      </c>
      <c r="J11" s="36" t="n">
        <f aca="false">前提条件!$C$8-SUM(F$5:F11)</f>
        <v>1612500</v>
      </c>
      <c r="K11" s="36" t="n">
        <f aca="false">SUM(G$5:G11)</f>
        <v>15882262</v>
      </c>
    </row>
    <row r="12" customFormat="false" ht="15" hidden="false" customHeight="false" outlineLevel="0" collapsed="false">
      <c r="B12" s="65" t="n">
        <v>55</v>
      </c>
      <c r="C12" s="66" t="str">
        <f aca="false">"2033年7月〜2034年6月"</f>
        <v>2033年7月〜2034年6月</v>
      </c>
      <c r="D12" s="44" t="n">
        <f aca="false">COUNTIF(投資回収_月次!$C$8:$C$127,B12)</f>
        <v>12</v>
      </c>
      <c r="E12" s="27" t="n">
        <f aca="false">SUMIFS(投資回収_月次!$J$8:$J$127,投資回収_月次!$C$8:$C$127,B12)</f>
        <v>2925265</v>
      </c>
      <c r="F12" s="27" t="n">
        <f aca="false">SUMIFS(投資回収_月次!$M$8:$M$127,投資回収_月次!$C$8:$C$127,B12)</f>
        <v>450000</v>
      </c>
      <c r="G12" s="36" t="n">
        <f aca="false">E12-F12</f>
        <v>2475265</v>
      </c>
      <c r="H12" s="36" t="n">
        <f aca="false">SUM(E$5:E12)</f>
        <v>21695027</v>
      </c>
      <c r="I12" s="36" t="n">
        <f aca="false">MAX(前提条件!$C$8-H12,0)</f>
        <v>0</v>
      </c>
      <c r="J12" s="36" t="n">
        <f aca="false">前提条件!$C$8-SUM(F$5:F12)</f>
        <v>1162500</v>
      </c>
      <c r="K12" s="36" t="n">
        <f aca="false">SUM(G$5:G12)</f>
        <v>18357527</v>
      </c>
    </row>
    <row r="13" customFormat="false" ht="15" hidden="false" customHeight="false" outlineLevel="0" collapsed="false">
      <c r="B13" s="65" t="n">
        <v>56</v>
      </c>
      <c r="C13" s="66" t="str">
        <f aca="false">"2034年7月〜2035年6月"</f>
        <v>2034年7月〜2035年6月</v>
      </c>
      <c r="D13" s="44" t="n">
        <f aca="false">COUNTIF(投資回収_月次!$C$8:$C$127,B13)</f>
        <v>12</v>
      </c>
      <c r="E13" s="27" t="n">
        <f aca="false">SUMIFS(投資回収_月次!$J$8:$J$127,投資回収_月次!$C$8:$C$127,B13)</f>
        <v>2925265</v>
      </c>
      <c r="F13" s="27" t="n">
        <f aca="false">SUMIFS(投資回収_月次!$M$8:$M$127,投資回収_月次!$C$8:$C$127,B13)</f>
        <v>450000</v>
      </c>
      <c r="G13" s="36" t="n">
        <f aca="false">E13-F13</f>
        <v>2475265</v>
      </c>
      <c r="H13" s="36" t="n">
        <f aca="false">SUM(E$5:E13)</f>
        <v>24620292</v>
      </c>
      <c r="I13" s="36" t="n">
        <f aca="false">MAX(前提条件!$C$8-H13,0)</f>
        <v>0</v>
      </c>
      <c r="J13" s="36" t="n">
        <f aca="false">前提条件!$C$8-SUM(F$5:F13)</f>
        <v>712500</v>
      </c>
      <c r="K13" s="36" t="n">
        <f aca="false">SUM(G$5:G13)</f>
        <v>20832792</v>
      </c>
    </row>
    <row r="14" customFormat="false" ht="15" hidden="false" customHeight="false" outlineLevel="0" collapsed="false">
      <c r="B14" s="65" t="n">
        <v>57</v>
      </c>
      <c r="C14" s="66" t="str">
        <f aca="false">"2035年7月〜2036年6月"</f>
        <v>2035年7月〜2036年6月</v>
      </c>
      <c r="D14" s="44" t="n">
        <f aca="false">COUNTIF(投資回収_月次!$C$8:$C$127,B14)</f>
        <v>12</v>
      </c>
      <c r="E14" s="27" t="n">
        <f aca="false">SUMIFS(投資回収_月次!$J$8:$J$127,投資回収_月次!$C$8:$C$127,B14)</f>
        <v>2933526</v>
      </c>
      <c r="F14" s="27" t="n">
        <f aca="false">SUMIFS(投資回収_月次!$M$8:$M$127,投資回収_月次!$C$8:$C$127,B14)</f>
        <v>450000</v>
      </c>
      <c r="G14" s="36" t="n">
        <f aca="false">E14-F14</f>
        <v>2483526</v>
      </c>
      <c r="H14" s="36" t="n">
        <f aca="false">SUM(E$5:E14)</f>
        <v>27553818</v>
      </c>
      <c r="I14" s="36" t="n">
        <f aca="false">MAX(前提条件!$C$8-H14,0)</f>
        <v>0</v>
      </c>
      <c r="J14" s="36" t="n">
        <f aca="false">前提条件!$C$8-SUM(F$5:F14)</f>
        <v>262500</v>
      </c>
      <c r="K14" s="36" t="n">
        <f aca="false">SUM(G$5:G14)</f>
        <v>23316318</v>
      </c>
    </row>
    <row r="15" customFormat="false" ht="15" hidden="false" customHeight="false" outlineLevel="0" collapsed="false">
      <c r="B15" s="65" t="n">
        <v>58</v>
      </c>
      <c r="C15" s="66" t="str">
        <f aca="false">"2036年7月〜2037年6月"</f>
        <v>2036年7月〜2037年6月</v>
      </c>
      <c r="D15" s="44" t="n">
        <f aca="false">COUNTIF(投資回収_月次!$C$8:$C$127,B15)</f>
        <v>7</v>
      </c>
      <c r="E15" s="27" t="n">
        <f aca="false">SUMIFS(投資回収_月次!$J$8:$J$127,投資回収_月次!$C$8:$C$127,B15)</f>
        <v>1723615</v>
      </c>
      <c r="F15" s="27" t="n">
        <f aca="false">SUMIFS(投資回収_月次!$M$8:$M$127,投資回収_月次!$C$8:$C$127,B15)</f>
        <v>262500</v>
      </c>
      <c r="G15" s="36" t="n">
        <f aca="false">E15-F15</f>
        <v>1461115</v>
      </c>
      <c r="H15" s="36" t="n">
        <f aca="false">SUM(E$5:E15)</f>
        <v>29277433</v>
      </c>
      <c r="I15" s="36" t="n">
        <f aca="false">MAX(前提条件!$C$8-H15,0)</f>
        <v>0</v>
      </c>
      <c r="J15" s="36" t="n">
        <f aca="false">前提条件!$C$8-SUM(F$5:F15)</f>
        <v>0</v>
      </c>
      <c r="K15" s="36" t="n">
        <f aca="false">SUM(G$5:G15)</f>
        <v>24777433</v>
      </c>
    </row>
    <row r="16" customFormat="false" ht="15" hidden="false" customHeight="false" outlineLevel="0" collapsed="false">
      <c r="B16" s="46" t="s">
        <v>142</v>
      </c>
      <c r="C16" s="67"/>
      <c r="D16" s="68" t="n">
        <f aca="false">SUM(D5:D15)</f>
        <v>120</v>
      </c>
      <c r="E16" s="69" t="n">
        <f aca="false">SUM(E5:E15)</f>
        <v>29277433</v>
      </c>
      <c r="F16" s="69" t="n">
        <f aca="false">SUM(F5:F15)</f>
        <v>4500000</v>
      </c>
      <c r="G16" s="69" t="n">
        <f aca="false">SUM(G5:G15)</f>
        <v>24777433</v>
      </c>
      <c r="H16" s="67"/>
      <c r="I16" s="67"/>
      <c r="J16" s="67"/>
      <c r="K16" s="67"/>
    </row>
    <row r="18" customFormat="false" ht="15" hidden="false" customHeight="false" outlineLevel="0" collapsed="false">
      <c r="B18" s="10" t="s">
        <v>208</v>
      </c>
    </row>
    <row r="19" customFormat="false" ht="15" hidden="false" customHeight="false" outlineLevel="0" collapsed="false">
      <c r="B19" s="31" t="s">
        <v>209</v>
      </c>
    </row>
    <row r="20" customFormat="false" ht="15" hidden="false" customHeight="false" outlineLevel="0" collapsed="false">
      <c r="B20" s="31" t="s">
        <v>210</v>
      </c>
    </row>
    <row r="21" customFormat="false" ht="15" hidden="false" customHeight="false" outlineLevel="0" collapsed="false">
      <c r="B21" s="31" t="s">
        <v>211</v>
      </c>
    </row>
  </sheetData>
  <conditionalFormatting sqref="B5:K15">
    <cfRule type="expression" priority="2" aboveAverage="0" equalAverage="0" bottom="0" percent="0" rank="0" text="" dxfId="0">
      <formula>AND($I5=0,$H5-$E5&lt;前提条件!$C$8)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70" t="s">
        <v>212</v>
      </c>
    </row>
    <row r="2" customFormat="false" ht="15" hidden="false" customHeight="false" outlineLevel="0" collapsed="false">
      <c r="A2" s="12" t="s">
        <v>213</v>
      </c>
    </row>
    <row r="3" customFormat="false" ht="15" hidden="false" customHeight="false" outlineLevel="0" collapsed="false">
      <c r="A3" s="25" t="s">
        <v>214</v>
      </c>
      <c r="B3" s="24" t="s">
        <v>215</v>
      </c>
      <c r="C3" s="24" t="s">
        <v>216</v>
      </c>
      <c r="D3" s="24" t="s">
        <v>217</v>
      </c>
      <c r="E3" s="24" t="s">
        <v>218</v>
      </c>
      <c r="F3" s="24" t="s">
        <v>219</v>
      </c>
      <c r="G3" s="24" t="s">
        <v>220</v>
      </c>
      <c r="H3" s="24" t="s">
        <v>36</v>
      </c>
      <c r="I3" s="24" t="s">
        <v>37</v>
      </c>
      <c r="J3" s="24" t="s">
        <v>38</v>
      </c>
      <c r="K3" s="24" t="s">
        <v>39</v>
      </c>
      <c r="L3" s="24" t="s">
        <v>40</v>
      </c>
      <c r="M3" s="24" t="s">
        <v>41</v>
      </c>
      <c r="N3" s="24" t="s">
        <v>221</v>
      </c>
    </row>
    <row r="4" customFormat="false" ht="15" hidden="false" customHeight="false" outlineLevel="0" collapsed="false">
      <c r="A4" s="5" t="s">
        <v>222</v>
      </c>
      <c r="B4" s="71" t="n">
        <v>787800</v>
      </c>
      <c r="C4" s="71" t="n">
        <v>836803.384</v>
      </c>
      <c r="D4" s="71" t="n">
        <v>747600</v>
      </c>
      <c r="E4" s="71" t="n">
        <v>772524.471</v>
      </c>
      <c r="F4" s="71" t="n">
        <v>750295.52</v>
      </c>
      <c r="G4" s="71" t="n">
        <v>847205.75</v>
      </c>
      <c r="H4" s="71" t="n">
        <v>770219.863</v>
      </c>
      <c r="I4" s="71" t="n">
        <v>729600</v>
      </c>
      <c r="J4" s="71" t="n">
        <v>826500</v>
      </c>
      <c r="K4" s="71" t="n">
        <v>792000</v>
      </c>
      <c r="L4" s="71" t="n">
        <v>802000</v>
      </c>
      <c r="M4" s="71" t="n">
        <v>777000</v>
      </c>
      <c r="N4" s="71" t="n">
        <v>9439548.988</v>
      </c>
    </row>
    <row r="5" customFormat="false" ht="15" hidden="false" customHeight="false" outlineLevel="0" collapsed="false">
      <c r="A5" s="5" t="s">
        <v>223</v>
      </c>
      <c r="B5" s="71" t="n">
        <v>224170</v>
      </c>
      <c r="C5" s="71" t="n">
        <v>237991.384</v>
      </c>
      <c r="D5" s="71" t="n">
        <v>212690</v>
      </c>
      <c r="E5" s="71" t="n">
        <v>219664.471</v>
      </c>
      <c r="F5" s="71" t="n">
        <v>213231.52</v>
      </c>
      <c r="G5" s="71" t="n">
        <v>240495.75</v>
      </c>
      <c r="H5" s="71" t="n">
        <v>218795.863</v>
      </c>
      <c r="I5" s="71" t="n">
        <v>207111.4</v>
      </c>
      <c r="J5" s="71" t="n">
        <v>234509</v>
      </c>
      <c r="K5" s="71" t="n">
        <v>224780</v>
      </c>
      <c r="L5" s="71" t="n">
        <v>227600</v>
      </c>
      <c r="M5" s="71" t="n">
        <v>219247.2686</v>
      </c>
      <c r="N5" s="71" t="n">
        <v>2680286.6566</v>
      </c>
    </row>
    <row r="6" customFormat="false" ht="15" hidden="false" customHeight="false" outlineLevel="0" collapsed="false">
      <c r="A6" s="5" t="s">
        <v>224</v>
      </c>
      <c r="B6" s="72" t="n">
        <v>0.284551916730135</v>
      </c>
      <c r="C6" s="72" t="n">
        <v>0.284405379507882</v>
      </c>
      <c r="D6" s="72" t="n">
        <v>0.284497057249866</v>
      </c>
      <c r="E6" s="72" t="n">
        <v>0.284346294837306</v>
      </c>
      <c r="F6" s="72" t="n">
        <v>0.284196712250128</v>
      </c>
      <c r="G6" s="72" t="n">
        <v>0.283869355230415</v>
      </c>
      <c r="H6" s="72" t="n">
        <v>0.284069359296697</v>
      </c>
      <c r="I6" s="72" t="n">
        <v>0.283869791666667</v>
      </c>
      <c r="J6" s="72" t="n">
        <v>0.283737447065941</v>
      </c>
      <c r="K6" s="72" t="n">
        <v>0.283813131313131</v>
      </c>
      <c r="L6" s="72" t="n">
        <v>0.283790523690773</v>
      </c>
      <c r="M6" s="72" t="n">
        <v>0.282171516859717</v>
      </c>
      <c r="N6" s="72" t="n">
        <v>0.283942237071634</v>
      </c>
    </row>
    <row r="7" customFormat="false" ht="15" hidden="false" customHeight="false" outlineLevel="0" collapsed="false">
      <c r="A7" s="5" t="s">
        <v>225</v>
      </c>
      <c r="B7" s="71" t="n">
        <v>785000</v>
      </c>
      <c r="C7" s="71" t="n">
        <v>834000</v>
      </c>
      <c r="D7" s="71" t="n">
        <v>745000</v>
      </c>
      <c r="E7" s="71" t="n">
        <v>770000</v>
      </c>
      <c r="F7" s="71" t="n">
        <v>748000</v>
      </c>
      <c r="G7" s="71" t="n">
        <v>845000</v>
      </c>
      <c r="H7" s="71" t="n">
        <v>768000</v>
      </c>
      <c r="I7" s="71" t="n">
        <v>727700</v>
      </c>
      <c r="J7" s="71" t="n">
        <v>824500</v>
      </c>
      <c r="K7" s="71" t="n">
        <v>790000</v>
      </c>
      <c r="L7" s="71" t="n">
        <v>800000</v>
      </c>
      <c r="M7" s="71" t="n">
        <v>775000</v>
      </c>
      <c r="N7" s="71" t="n">
        <v>9412200</v>
      </c>
    </row>
    <row r="8" customFormat="false" ht="15" hidden="false" customHeight="false" outlineLevel="0" collapsed="false">
      <c r="A8" s="5" t="s">
        <v>226</v>
      </c>
      <c r="B8" s="71" t="n">
        <v>213520</v>
      </c>
      <c r="C8" s="71" t="n">
        <v>226848</v>
      </c>
      <c r="D8" s="71" t="n">
        <v>202640</v>
      </c>
      <c r="E8" s="71" t="n">
        <v>209440</v>
      </c>
      <c r="F8" s="71" t="n">
        <v>203456</v>
      </c>
      <c r="G8" s="71" t="n">
        <v>229840</v>
      </c>
      <c r="H8" s="71" t="n">
        <v>208896</v>
      </c>
      <c r="I8" s="71" t="n">
        <v>197934.4</v>
      </c>
      <c r="J8" s="71" t="n">
        <v>224264</v>
      </c>
      <c r="K8" s="71" t="n">
        <v>214880</v>
      </c>
      <c r="L8" s="71" t="n">
        <v>217600</v>
      </c>
      <c r="M8" s="71" t="n">
        <v>210800</v>
      </c>
      <c r="N8" s="71" t="n">
        <v>2560118.4</v>
      </c>
    </row>
    <row r="9" customFormat="false" ht="15" hidden="false" customHeight="false" outlineLevel="0" collapsed="false">
      <c r="A9" s="5" t="s">
        <v>224</v>
      </c>
      <c r="B9" s="72" t="n">
        <v>0.272</v>
      </c>
      <c r="C9" s="72" t="n">
        <v>0.272</v>
      </c>
      <c r="D9" s="72" t="n">
        <v>0.272</v>
      </c>
      <c r="E9" s="72" t="n">
        <v>0.272</v>
      </c>
      <c r="F9" s="72" t="n">
        <v>0.272</v>
      </c>
      <c r="G9" s="72" t="n">
        <v>0.272</v>
      </c>
      <c r="H9" s="72" t="n">
        <v>0.272</v>
      </c>
      <c r="I9" s="72" t="n">
        <v>0.272</v>
      </c>
      <c r="J9" s="72" t="n">
        <v>0.272</v>
      </c>
      <c r="K9" s="72" t="n">
        <v>0.272</v>
      </c>
      <c r="L9" s="72" t="n">
        <v>0.272</v>
      </c>
      <c r="M9" s="72" t="n">
        <v>0.272</v>
      </c>
      <c r="N9" s="72" t="n">
        <v>0.272</v>
      </c>
    </row>
    <row r="10" customFormat="false" ht="15" hidden="false" customHeight="false" outlineLevel="0" collapsed="false">
      <c r="A10" s="5" t="s">
        <v>227</v>
      </c>
      <c r="B10" s="71" t="n">
        <v>2800</v>
      </c>
      <c r="C10" s="71" t="n">
        <v>2803.384</v>
      </c>
      <c r="D10" s="71" t="n">
        <v>2600</v>
      </c>
      <c r="E10" s="71" t="n">
        <v>2524.471</v>
      </c>
      <c r="F10" s="71" t="n">
        <v>2295.52</v>
      </c>
      <c r="G10" s="71" t="n">
        <v>2205.75</v>
      </c>
      <c r="H10" s="71" t="n">
        <v>2219.863</v>
      </c>
      <c r="I10" s="71" t="n">
        <v>1900</v>
      </c>
      <c r="J10" s="71" t="n">
        <v>2000</v>
      </c>
      <c r="K10" s="71" t="n">
        <v>2000</v>
      </c>
      <c r="L10" s="71" t="n">
        <v>2000</v>
      </c>
      <c r="M10" s="71" t="n">
        <v>2000</v>
      </c>
      <c r="N10" s="71" t="n">
        <v>27348.988</v>
      </c>
    </row>
    <row r="11" customFormat="false" ht="15" hidden="false" customHeight="false" outlineLevel="0" collapsed="false">
      <c r="A11" s="5" t="s">
        <v>228</v>
      </c>
      <c r="B11" s="71" t="n">
        <v>2800</v>
      </c>
      <c r="C11" s="71" t="n">
        <v>2803.384</v>
      </c>
      <c r="D11" s="71" t="n">
        <v>2600</v>
      </c>
      <c r="E11" s="71" t="n">
        <v>2524.471</v>
      </c>
      <c r="F11" s="71" t="n">
        <v>2295.52</v>
      </c>
      <c r="G11" s="71" t="n">
        <v>2205.75</v>
      </c>
      <c r="H11" s="71" t="n">
        <v>2219.863</v>
      </c>
      <c r="I11" s="71" t="n">
        <v>1900</v>
      </c>
      <c r="J11" s="71" t="n">
        <v>2000</v>
      </c>
      <c r="K11" s="71" t="n">
        <v>2000</v>
      </c>
      <c r="L11" s="71" t="n">
        <v>2000</v>
      </c>
      <c r="M11" s="71" t="n">
        <v>2000</v>
      </c>
      <c r="N11" s="71" t="n">
        <v>27348.988</v>
      </c>
    </row>
    <row r="12" customFormat="false" ht="15" hidden="false" customHeight="false" outlineLevel="0" collapsed="false">
      <c r="A12" s="5" t="s">
        <v>224</v>
      </c>
      <c r="B12" s="72" t="n">
        <v>1</v>
      </c>
      <c r="C12" s="72" t="n">
        <v>1</v>
      </c>
      <c r="D12" s="72" t="n">
        <v>1</v>
      </c>
      <c r="E12" s="72" t="n">
        <v>1</v>
      </c>
      <c r="F12" s="72" t="n">
        <v>1</v>
      </c>
      <c r="G12" s="72" t="n">
        <v>1</v>
      </c>
      <c r="H12" s="72" t="n">
        <v>1</v>
      </c>
      <c r="I12" s="72" t="n">
        <v>1</v>
      </c>
      <c r="J12" s="72" t="n">
        <v>1</v>
      </c>
      <c r="K12" s="72" t="n">
        <v>1</v>
      </c>
      <c r="L12" s="72" t="n">
        <v>1</v>
      </c>
      <c r="M12" s="72" t="n">
        <v>1</v>
      </c>
      <c r="N12" s="72" t="n">
        <v>1</v>
      </c>
    </row>
    <row r="13" customFormat="false" ht="15" hidden="false" customHeight="false" outlineLevel="0" collapsed="false">
      <c r="A13" s="5" t="s">
        <v>229</v>
      </c>
      <c r="B13" s="71" t="n">
        <v>0</v>
      </c>
      <c r="C13" s="71" t="n">
        <v>0</v>
      </c>
      <c r="D13" s="71" t="n">
        <v>0</v>
      </c>
      <c r="E13" s="71" t="n">
        <v>0</v>
      </c>
      <c r="F13" s="71" t="n">
        <v>0</v>
      </c>
      <c r="G13" s="71" t="n">
        <v>0</v>
      </c>
      <c r="H13" s="71" t="n">
        <v>0</v>
      </c>
      <c r="I13" s="71" t="n">
        <v>0</v>
      </c>
      <c r="J13" s="71" t="n">
        <v>0</v>
      </c>
      <c r="K13" s="71" t="n">
        <v>0</v>
      </c>
      <c r="L13" s="71" t="n">
        <v>0</v>
      </c>
      <c r="M13" s="71" t="n">
        <v>0</v>
      </c>
      <c r="N13" s="71" t="n">
        <v>0</v>
      </c>
    </row>
    <row r="14" customFormat="false" ht="15" hidden="false" customHeight="false" outlineLevel="0" collapsed="false">
      <c r="A14" s="5" t="s">
        <v>230</v>
      </c>
      <c r="B14" s="71" t="n">
        <v>0</v>
      </c>
      <c r="C14" s="71" t="n">
        <v>0</v>
      </c>
      <c r="D14" s="71" t="n">
        <v>0</v>
      </c>
      <c r="E14" s="71" t="n">
        <v>0</v>
      </c>
      <c r="F14" s="71" t="n">
        <v>0</v>
      </c>
      <c r="G14" s="71" t="n">
        <v>0</v>
      </c>
      <c r="H14" s="71" t="n">
        <v>0</v>
      </c>
      <c r="I14" s="71" t="n">
        <v>0</v>
      </c>
      <c r="J14" s="71" t="n">
        <v>0</v>
      </c>
      <c r="K14" s="71" t="n">
        <v>0</v>
      </c>
      <c r="L14" s="71" t="n">
        <v>0</v>
      </c>
      <c r="M14" s="71" t="n">
        <v>0</v>
      </c>
      <c r="N14" s="71" t="n">
        <v>0</v>
      </c>
    </row>
    <row r="15" customFormat="false" ht="15" hidden="false" customHeight="false" outlineLevel="0" collapsed="false">
      <c r="A15" s="5" t="s">
        <v>224</v>
      </c>
      <c r="B15" s="72" t="n">
        <v>0</v>
      </c>
      <c r="C15" s="72" t="n">
        <v>0</v>
      </c>
      <c r="D15" s="72" t="n">
        <v>0</v>
      </c>
      <c r="E15" s="72" t="n">
        <v>0</v>
      </c>
      <c r="F15" s="72" t="n">
        <v>0</v>
      </c>
      <c r="G15" s="72" t="n"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</row>
    <row r="16" customFormat="false" ht="15" hidden="false" customHeight="false" outlineLevel="0" collapsed="false">
      <c r="A16" s="5" t="s">
        <v>231</v>
      </c>
      <c r="B16" s="71" t="n">
        <v>0</v>
      </c>
      <c r="C16" s="71" t="n">
        <v>0</v>
      </c>
      <c r="D16" s="71" t="n">
        <v>0</v>
      </c>
      <c r="E16" s="71" t="n">
        <v>0</v>
      </c>
      <c r="F16" s="71" t="n">
        <v>0</v>
      </c>
      <c r="G16" s="71" t="n">
        <v>0</v>
      </c>
      <c r="H16" s="71" t="n">
        <v>0</v>
      </c>
      <c r="I16" s="71" t="n">
        <v>0</v>
      </c>
      <c r="J16" s="71" t="n">
        <v>0</v>
      </c>
      <c r="K16" s="71" t="n">
        <v>0</v>
      </c>
      <c r="L16" s="71" t="n">
        <v>0</v>
      </c>
      <c r="M16" s="71" t="n">
        <v>0</v>
      </c>
      <c r="N16" s="71" t="n">
        <v>0</v>
      </c>
    </row>
    <row r="17" customFormat="false" ht="15" hidden="false" customHeight="false" outlineLevel="0" collapsed="false">
      <c r="A17" s="5" t="s">
        <v>232</v>
      </c>
      <c r="B17" s="71" t="n">
        <v>7850</v>
      </c>
      <c r="C17" s="71" t="n">
        <v>8340</v>
      </c>
      <c r="D17" s="71" t="n">
        <v>7450</v>
      </c>
      <c r="E17" s="71" t="n">
        <v>7700</v>
      </c>
      <c r="F17" s="71" t="n">
        <v>7480</v>
      </c>
      <c r="G17" s="71" t="n">
        <v>8450</v>
      </c>
      <c r="H17" s="71" t="n">
        <v>7680</v>
      </c>
      <c r="I17" s="71" t="n">
        <v>7277</v>
      </c>
      <c r="J17" s="71" t="n">
        <v>8245</v>
      </c>
      <c r="K17" s="71" t="n">
        <v>7900</v>
      </c>
      <c r="L17" s="71" t="n">
        <v>8000</v>
      </c>
      <c r="M17" s="71" t="n">
        <v>6447.2686</v>
      </c>
      <c r="N17" s="71" t="n">
        <v>92819.2686</v>
      </c>
    </row>
    <row r="18" customFormat="false" ht="15" hidden="false" customHeight="false" outlineLevel="0" collapsed="false">
      <c r="A18" s="5" t="s">
        <v>224</v>
      </c>
      <c r="B18" s="72" t="n">
        <v>0</v>
      </c>
      <c r="C18" s="72" t="n">
        <v>0</v>
      </c>
      <c r="D18" s="72" t="n">
        <v>0</v>
      </c>
      <c r="E18" s="72" t="n">
        <v>0</v>
      </c>
      <c r="F18" s="72" t="n">
        <v>0</v>
      </c>
      <c r="G18" s="72" t="n">
        <v>0</v>
      </c>
      <c r="H18" s="72" t="n">
        <v>0</v>
      </c>
      <c r="I18" s="72" t="n">
        <v>0</v>
      </c>
      <c r="J18" s="72" t="n">
        <v>0</v>
      </c>
      <c r="K18" s="72" t="n">
        <v>0</v>
      </c>
      <c r="L18" s="72" t="n">
        <v>0</v>
      </c>
      <c r="M18" s="72" t="n">
        <v>0</v>
      </c>
      <c r="N18" s="72" t="n">
        <v>0</v>
      </c>
    </row>
    <row r="19" customFormat="false" ht="15" hidden="false" customHeight="false" outlineLevel="0" collapsed="false">
      <c r="A19" s="5" t="s">
        <v>233</v>
      </c>
      <c r="B19" s="71" t="n">
        <v>137474</v>
      </c>
      <c r="C19" s="71" t="n">
        <v>138653</v>
      </c>
      <c r="D19" s="71" t="n">
        <v>141802</v>
      </c>
      <c r="E19" s="71" t="n">
        <v>140499</v>
      </c>
      <c r="F19" s="71" t="n">
        <v>133546</v>
      </c>
      <c r="G19" s="71" t="n">
        <v>144822</v>
      </c>
      <c r="H19" s="71" t="n">
        <v>144712</v>
      </c>
      <c r="I19" s="71" t="n">
        <v>135001</v>
      </c>
      <c r="J19" s="71" t="n">
        <v>143688</v>
      </c>
      <c r="K19" s="71" t="n">
        <v>139346</v>
      </c>
      <c r="L19" s="71" t="n">
        <v>144350</v>
      </c>
      <c r="M19" s="71" t="n">
        <v>142608</v>
      </c>
      <c r="N19" s="71" t="n">
        <v>1686501</v>
      </c>
    </row>
    <row r="20" customFormat="false" ht="15" hidden="false" customHeight="false" outlineLevel="0" collapsed="false">
      <c r="A20" s="5" t="s">
        <v>234</v>
      </c>
      <c r="B20" s="71" t="n">
        <v>89240</v>
      </c>
      <c r="C20" s="71" t="n">
        <v>91540</v>
      </c>
      <c r="D20" s="71" t="n">
        <v>97500</v>
      </c>
      <c r="E20" s="71" t="n">
        <v>96250</v>
      </c>
      <c r="F20" s="71" t="n">
        <v>86900</v>
      </c>
      <c r="G20" s="71" t="n">
        <v>94800</v>
      </c>
      <c r="H20" s="71" t="n">
        <v>99450</v>
      </c>
      <c r="I20" s="71" t="n">
        <v>90475</v>
      </c>
      <c r="J20" s="71" t="n">
        <v>96250</v>
      </c>
      <c r="K20" s="71" t="n">
        <v>95000</v>
      </c>
      <c r="L20" s="71" t="n">
        <v>95000</v>
      </c>
      <c r="M20" s="71" t="n">
        <v>97500</v>
      </c>
      <c r="N20" s="71" t="n">
        <v>1129905</v>
      </c>
    </row>
    <row r="21" customFormat="false" ht="15" hidden="false" customHeight="false" outlineLevel="0" collapsed="false">
      <c r="A21" s="5" t="s">
        <v>235</v>
      </c>
      <c r="B21" s="71" t="n">
        <v>0</v>
      </c>
      <c r="C21" s="71" t="n">
        <v>0</v>
      </c>
      <c r="D21" s="71" t="n">
        <v>0</v>
      </c>
      <c r="E21" s="71" t="n">
        <v>0</v>
      </c>
      <c r="F21" s="71" t="n">
        <v>0</v>
      </c>
      <c r="G21" s="71" t="n">
        <v>0</v>
      </c>
      <c r="H21" s="71" t="n">
        <v>0</v>
      </c>
      <c r="I21" s="71" t="n">
        <v>0</v>
      </c>
      <c r="J21" s="71" t="n">
        <v>0</v>
      </c>
      <c r="K21" s="71" t="n">
        <v>0</v>
      </c>
      <c r="L21" s="71" t="n">
        <v>0</v>
      </c>
      <c r="M21" s="71" t="n">
        <v>0</v>
      </c>
      <c r="N21" s="71" t="n">
        <v>0</v>
      </c>
    </row>
    <row r="22" customFormat="false" ht="15" hidden="false" customHeight="false" outlineLevel="0" collapsed="false">
      <c r="A22" s="5" t="s">
        <v>236</v>
      </c>
      <c r="B22" s="71" t="n">
        <v>18960</v>
      </c>
      <c r="C22" s="71" t="n">
        <v>19440</v>
      </c>
      <c r="D22" s="71" t="n">
        <v>18000</v>
      </c>
      <c r="E22" s="71" t="n">
        <v>18120</v>
      </c>
      <c r="F22" s="71" t="n">
        <v>18724</v>
      </c>
      <c r="G22" s="71" t="n">
        <v>20336</v>
      </c>
      <c r="H22" s="71" t="n">
        <v>18600</v>
      </c>
      <c r="I22" s="71" t="n">
        <v>18450</v>
      </c>
      <c r="J22" s="71" t="n">
        <v>19840</v>
      </c>
      <c r="K22" s="71" t="n">
        <v>18600</v>
      </c>
      <c r="L22" s="71" t="n">
        <v>19592</v>
      </c>
      <c r="M22" s="71" t="n">
        <v>18724</v>
      </c>
      <c r="N22" s="71" t="n">
        <v>227386</v>
      </c>
    </row>
    <row r="23" customFormat="false" ht="15" hidden="false" customHeight="false" outlineLevel="0" collapsed="false">
      <c r="A23" s="5" t="s">
        <v>237</v>
      </c>
      <c r="B23" s="71" t="n">
        <v>1000</v>
      </c>
      <c r="C23" s="71" t="n">
        <v>2000</v>
      </c>
      <c r="D23" s="71" t="n">
        <v>100</v>
      </c>
      <c r="E23" s="71" t="n">
        <v>100</v>
      </c>
      <c r="F23" s="71" t="n">
        <v>100</v>
      </c>
      <c r="G23" s="71" t="n">
        <v>3500</v>
      </c>
      <c r="H23" s="71" t="n">
        <v>100</v>
      </c>
      <c r="I23" s="71" t="n">
        <v>1000</v>
      </c>
      <c r="J23" s="71" t="n">
        <v>1500</v>
      </c>
      <c r="K23" s="71" t="n">
        <v>100</v>
      </c>
      <c r="L23" s="71" t="n">
        <v>1000</v>
      </c>
      <c r="M23" s="71" t="n">
        <v>100</v>
      </c>
      <c r="N23" s="71" t="n">
        <v>10600</v>
      </c>
    </row>
    <row r="24" customFormat="false" ht="15" hidden="false" customHeight="false" outlineLevel="0" collapsed="false">
      <c r="A24" s="5" t="s">
        <v>238</v>
      </c>
      <c r="B24" s="71" t="n">
        <v>5160</v>
      </c>
      <c r="C24" s="71" t="n">
        <v>5160</v>
      </c>
      <c r="D24" s="71" t="n">
        <v>5160</v>
      </c>
      <c r="E24" s="71" t="n">
        <v>5160</v>
      </c>
      <c r="F24" s="71" t="n">
        <v>5160</v>
      </c>
      <c r="G24" s="71" t="n">
        <v>5160</v>
      </c>
      <c r="H24" s="71" t="n">
        <v>5160</v>
      </c>
      <c r="I24" s="71" t="n">
        <v>5160</v>
      </c>
      <c r="J24" s="71" t="n">
        <v>5160</v>
      </c>
      <c r="K24" s="71" t="n">
        <v>5160</v>
      </c>
      <c r="L24" s="71" t="n">
        <v>5160</v>
      </c>
      <c r="M24" s="71" t="n">
        <v>5160</v>
      </c>
      <c r="N24" s="71" t="n">
        <v>61920</v>
      </c>
    </row>
    <row r="25" customFormat="false" ht="15" hidden="false" customHeight="false" outlineLevel="0" collapsed="false">
      <c r="A25" s="5" t="s">
        <v>239</v>
      </c>
      <c r="B25" s="71" t="n">
        <v>16269</v>
      </c>
      <c r="C25" s="71" t="n">
        <v>16668</v>
      </c>
      <c r="D25" s="71" t="n">
        <v>17397</v>
      </c>
      <c r="E25" s="71" t="n">
        <v>17224</v>
      </c>
      <c r="F25" s="71" t="n">
        <v>15892</v>
      </c>
      <c r="G25" s="71" t="n">
        <v>17256</v>
      </c>
      <c r="H25" s="71" t="n">
        <v>17757</v>
      </c>
      <c r="I25" s="71" t="n">
        <v>16396</v>
      </c>
      <c r="J25" s="71" t="n">
        <v>17418</v>
      </c>
      <c r="K25" s="71" t="n">
        <v>17091</v>
      </c>
      <c r="L25" s="71" t="n">
        <v>17203</v>
      </c>
      <c r="M25" s="71" t="n">
        <v>17479</v>
      </c>
      <c r="N25" s="71" t="n">
        <v>204050</v>
      </c>
    </row>
    <row r="26" customFormat="false" ht="15" hidden="false" customHeight="false" outlineLevel="0" collapsed="false">
      <c r="A26" s="5" t="s">
        <v>240</v>
      </c>
      <c r="B26" s="71" t="n">
        <v>6835</v>
      </c>
      <c r="C26" s="71" t="n">
        <v>3835</v>
      </c>
      <c r="D26" s="71" t="n">
        <v>3635</v>
      </c>
      <c r="E26" s="71" t="n">
        <v>3635</v>
      </c>
      <c r="F26" s="71" t="n">
        <v>6760</v>
      </c>
      <c r="G26" s="71" t="n">
        <v>3760</v>
      </c>
      <c r="H26" s="71" t="n">
        <v>3635</v>
      </c>
      <c r="I26" s="71" t="n">
        <v>3510</v>
      </c>
      <c r="J26" s="71" t="n">
        <v>3510</v>
      </c>
      <c r="K26" s="71" t="n">
        <v>3385</v>
      </c>
      <c r="L26" s="71" t="n">
        <v>6385</v>
      </c>
      <c r="M26" s="71" t="n">
        <v>3635</v>
      </c>
      <c r="N26" s="71" t="n">
        <v>52520</v>
      </c>
    </row>
    <row r="27" customFormat="false" ht="15" hidden="false" customHeight="false" outlineLevel="0" collapsed="false">
      <c r="A27" s="5" t="s">
        <v>241</v>
      </c>
      <c r="B27" s="71" t="n">
        <v>0</v>
      </c>
      <c r="C27" s="71" t="n">
        <v>0</v>
      </c>
      <c r="D27" s="71" t="n">
        <v>0</v>
      </c>
      <c r="E27" s="71" t="n">
        <v>0</v>
      </c>
      <c r="F27" s="71" t="n">
        <v>0</v>
      </c>
      <c r="G27" s="71" t="n">
        <v>0</v>
      </c>
      <c r="H27" s="71" t="n">
        <v>0</v>
      </c>
      <c r="I27" s="71" t="n">
        <v>0</v>
      </c>
      <c r="J27" s="71" t="n">
        <v>0</v>
      </c>
      <c r="K27" s="71" t="n">
        <v>0</v>
      </c>
      <c r="L27" s="71" t="n">
        <v>0</v>
      </c>
      <c r="M27" s="71" t="n">
        <v>0</v>
      </c>
      <c r="N27" s="71" t="n">
        <v>0</v>
      </c>
    </row>
    <row r="28" customFormat="false" ht="15" hidden="false" customHeight="false" outlineLevel="0" collapsed="false">
      <c r="A28" s="5" t="s">
        <v>242</v>
      </c>
      <c r="B28" s="71" t="n">
        <v>10</v>
      </c>
      <c r="C28" s="71" t="n">
        <v>10</v>
      </c>
      <c r="D28" s="71" t="n">
        <v>10</v>
      </c>
      <c r="E28" s="71" t="n">
        <v>10</v>
      </c>
      <c r="F28" s="71" t="n">
        <v>10</v>
      </c>
      <c r="G28" s="71" t="n">
        <v>10</v>
      </c>
      <c r="H28" s="71" t="n">
        <v>10</v>
      </c>
      <c r="I28" s="71" t="n">
        <v>10</v>
      </c>
      <c r="J28" s="71" t="n">
        <v>10</v>
      </c>
      <c r="K28" s="71" t="n">
        <v>10</v>
      </c>
      <c r="L28" s="71" t="n">
        <v>10</v>
      </c>
      <c r="M28" s="71" t="n">
        <v>10</v>
      </c>
      <c r="N28" s="71" t="n">
        <v>120</v>
      </c>
    </row>
    <row r="29" customFormat="false" ht="15" hidden="false" customHeight="false" outlineLevel="0" collapsed="false">
      <c r="A29" s="5" t="s">
        <v>243</v>
      </c>
      <c r="B29" s="71" t="n">
        <v>0</v>
      </c>
      <c r="C29" s="71" t="n">
        <v>0</v>
      </c>
      <c r="D29" s="71" t="n">
        <v>0</v>
      </c>
      <c r="E29" s="71" t="n">
        <v>0</v>
      </c>
      <c r="F29" s="71" t="n">
        <v>0</v>
      </c>
      <c r="G29" s="71" t="n">
        <v>0</v>
      </c>
      <c r="H29" s="71" t="n">
        <v>0</v>
      </c>
      <c r="I29" s="71" t="n">
        <v>0</v>
      </c>
      <c r="J29" s="71" t="n">
        <v>0</v>
      </c>
      <c r="K29" s="71" t="n">
        <v>0</v>
      </c>
      <c r="L29" s="71" t="n">
        <v>0</v>
      </c>
      <c r="M29" s="71" t="n">
        <v>0</v>
      </c>
      <c r="N29" s="71" t="n">
        <v>0</v>
      </c>
    </row>
    <row r="30" customFormat="false" ht="15" hidden="false" customHeight="false" outlineLevel="0" collapsed="false">
      <c r="A30" s="5" t="s">
        <v>244</v>
      </c>
      <c r="B30" s="71" t="n">
        <v>0</v>
      </c>
      <c r="C30" s="71" t="n">
        <v>0</v>
      </c>
      <c r="D30" s="71" t="n">
        <v>0</v>
      </c>
      <c r="E30" s="71" t="n">
        <v>0</v>
      </c>
      <c r="F30" s="71" t="n">
        <v>0</v>
      </c>
      <c r="G30" s="71" t="n">
        <v>0</v>
      </c>
      <c r="H30" s="71" t="n">
        <v>0</v>
      </c>
      <c r="I30" s="71" t="n">
        <v>0</v>
      </c>
      <c r="J30" s="71" t="n">
        <v>0</v>
      </c>
      <c r="K30" s="71" t="n">
        <v>0</v>
      </c>
      <c r="L30" s="71" t="n">
        <v>0</v>
      </c>
      <c r="M30" s="71" t="n">
        <v>0</v>
      </c>
      <c r="N30" s="71" t="n">
        <v>0</v>
      </c>
    </row>
    <row r="31" customFormat="false" ht="15" hidden="false" customHeight="false" outlineLevel="0" collapsed="false">
      <c r="A31" s="5" t="s">
        <v>245</v>
      </c>
      <c r="B31" s="71" t="n">
        <v>0</v>
      </c>
      <c r="C31" s="71" t="n">
        <v>0</v>
      </c>
      <c r="D31" s="71" t="n">
        <v>0</v>
      </c>
      <c r="E31" s="71" t="n">
        <v>0</v>
      </c>
      <c r="F31" s="71" t="n">
        <v>0</v>
      </c>
      <c r="G31" s="71" t="n">
        <v>0</v>
      </c>
      <c r="H31" s="71" t="n">
        <v>0</v>
      </c>
      <c r="I31" s="71" t="n">
        <v>0</v>
      </c>
      <c r="J31" s="71" t="n">
        <v>0</v>
      </c>
      <c r="K31" s="71" t="n">
        <v>0</v>
      </c>
      <c r="L31" s="71" t="n">
        <v>0</v>
      </c>
      <c r="M31" s="71" t="n">
        <v>0</v>
      </c>
      <c r="N31" s="71" t="n">
        <v>0</v>
      </c>
    </row>
    <row r="32" customFormat="false" ht="15" hidden="false" customHeight="false" outlineLevel="0" collapsed="false">
      <c r="A32" s="5" t="s">
        <v>246</v>
      </c>
      <c r="B32" s="71" t="n">
        <v>2069.6</v>
      </c>
      <c r="C32" s="71" t="n">
        <v>2069.6</v>
      </c>
      <c r="D32" s="71" t="n">
        <v>2069.6</v>
      </c>
      <c r="E32" s="71" t="n">
        <v>2069.6</v>
      </c>
      <c r="F32" s="71" t="n">
        <v>2069.6</v>
      </c>
      <c r="G32" s="71" t="n">
        <v>2069.6</v>
      </c>
      <c r="H32" s="71" t="n">
        <v>2069.6</v>
      </c>
      <c r="I32" s="71" t="n">
        <v>2069.6</v>
      </c>
      <c r="J32" s="71" t="n">
        <v>2069.6</v>
      </c>
      <c r="K32" s="71" t="n">
        <v>2069.6</v>
      </c>
      <c r="L32" s="71" t="n">
        <v>2069.6</v>
      </c>
      <c r="M32" s="71" t="n">
        <v>2069.6</v>
      </c>
      <c r="N32" s="71" t="n">
        <v>24835.2</v>
      </c>
    </row>
    <row r="33" customFormat="false" ht="15" hidden="false" customHeight="false" outlineLevel="0" collapsed="false">
      <c r="A33" s="5" t="s">
        <v>247</v>
      </c>
      <c r="B33" s="71" t="n">
        <v>0</v>
      </c>
      <c r="C33" s="71" t="n">
        <v>0</v>
      </c>
      <c r="D33" s="71" t="n">
        <v>0</v>
      </c>
      <c r="E33" s="71" t="n">
        <v>0</v>
      </c>
      <c r="F33" s="71" t="n">
        <v>0</v>
      </c>
      <c r="G33" s="71" t="n">
        <v>0</v>
      </c>
      <c r="H33" s="71" t="n">
        <v>0</v>
      </c>
      <c r="I33" s="71" t="n">
        <v>0</v>
      </c>
      <c r="J33" s="71" t="n">
        <v>0</v>
      </c>
      <c r="K33" s="71" t="n">
        <v>0</v>
      </c>
      <c r="L33" s="71" t="n">
        <v>0</v>
      </c>
      <c r="M33" s="71" t="n">
        <v>0</v>
      </c>
      <c r="N33" s="71" t="n">
        <v>0</v>
      </c>
    </row>
    <row r="34" customFormat="false" ht="15" hidden="false" customHeight="false" outlineLevel="0" collapsed="false">
      <c r="A34" s="5" t="s">
        <v>248</v>
      </c>
      <c r="B34" s="71" t="n">
        <v>632</v>
      </c>
      <c r="C34" s="71" t="n">
        <v>632</v>
      </c>
      <c r="D34" s="71" t="n">
        <v>632</v>
      </c>
      <c r="E34" s="71" t="n">
        <v>632</v>
      </c>
      <c r="F34" s="71" t="n">
        <v>632</v>
      </c>
      <c r="G34" s="71" t="n">
        <v>632</v>
      </c>
      <c r="H34" s="71" t="n">
        <v>632</v>
      </c>
      <c r="I34" s="71" t="n">
        <v>632</v>
      </c>
      <c r="J34" s="71" t="n">
        <v>632</v>
      </c>
      <c r="K34" s="71" t="n">
        <v>632</v>
      </c>
      <c r="L34" s="71" t="n">
        <v>632</v>
      </c>
      <c r="M34" s="71" t="n">
        <v>632</v>
      </c>
      <c r="N34" s="71" t="n">
        <v>7584</v>
      </c>
    </row>
    <row r="35" customFormat="false" ht="15" hidden="false" customHeight="false" outlineLevel="0" collapsed="false">
      <c r="A35" s="5" t="s">
        <v>249</v>
      </c>
      <c r="B35" s="71" t="n">
        <v>1437.6</v>
      </c>
      <c r="C35" s="71" t="n">
        <v>1437.6</v>
      </c>
      <c r="D35" s="71" t="n">
        <v>1437.6</v>
      </c>
      <c r="E35" s="71" t="n">
        <v>1437.6</v>
      </c>
      <c r="F35" s="71" t="n">
        <v>1437.6</v>
      </c>
      <c r="G35" s="71" t="n">
        <v>1437.6</v>
      </c>
      <c r="H35" s="71" t="n">
        <v>1437.6</v>
      </c>
      <c r="I35" s="71" t="n">
        <v>1437.6</v>
      </c>
      <c r="J35" s="71" t="n">
        <v>1437.6</v>
      </c>
      <c r="K35" s="71" t="n">
        <v>1437.6</v>
      </c>
      <c r="L35" s="71" t="n">
        <v>1437.6</v>
      </c>
      <c r="M35" s="71" t="n">
        <v>1437.6</v>
      </c>
      <c r="N35" s="71" t="n">
        <v>17251.2</v>
      </c>
    </row>
    <row r="36" customFormat="false" ht="15" hidden="false" customHeight="false" outlineLevel="0" collapsed="false">
      <c r="A36" s="5" t="s">
        <v>250</v>
      </c>
      <c r="B36" s="71" t="n">
        <v>79634.1467</v>
      </c>
      <c r="C36" s="71" t="n">
        <v>85862.7764</v>
      </c>
      <c r="D36" s="71" t="n">
        <v>71626.215</v>
      </c>
      <c r="E36" s="71" t="n">
        <v>75996.9078</v>
      </c>
      <c r="F36" s="71" t="n">
        <v>73366.4724</v>
      </c>
      <c r="G36" s="71" t="n">
        <v>85549.8789</v>
      </c>
      <c r="H36" s="71" t="n">
        <v>74334.1591</v>
      </c>
      <c r="I36" s="71" t="n">
        <v>72606.2817</v>
      </c>
      <c r="J36" s="71" t="n">
        <v>85296.8617</v>
      </c>
      <c r="K36" s="71" t="n">
        <v>79623.9617</v>
      </c>
      <c r="L36" s="71" t="n">
        <v>78769.9617</v>
      </c>
      <c r="M36" s="71" t="n">
        <v>78291.9617</v>
      </c>
      <c r="N36" s="71" t="n">
        <v>940959.5848</v>
      </c>
    </row>
    <row r="37" customFormat="false" ht="15" hidden="false" customHeight="false" outlineLevel="0" collapsed="false">
      <c r="A37" s="5" t="s">
        <v>251</v>
      </c>
      <c r="B37" s="71" t="n">
        <v>7500</v>
      </c>
      <c r="C37" s="71" t="n">
        <v>8000</v>
      </c>
      <c r="D37" s="71" t="n">
        <v>1500</v>
      </c>
      <c r="E37" s="71" t="n">
        <v>3650</v>
      </c>
      <c r="F37" s="71" t="n">
        <v>1000</v>
      </c>
      <c r="G37" s="71" t="n">
        <v>7500</v>
      </c>
      <c r="H37" s="71" t="n">
        <v>1500</v>
      </c>
      <c r="I37" s="71" t="n">
        <v>2000</v>
      </c>
      <c r="J37" s="71" t="n">
        <v>9000</v>
      </c>
      <c r="K37" s="71" t="n">
        <v>5750</v>
      </c>
      <c r="L37" s="71" t="n">
        <v>4250</v>
      </c>
      <c r="M37" s="71" t="n">
        <v>4250</v>
      </c>
      <c r="N37" s="71" t="n">
        <v>55900</v>
      </c>
    </row>
    <row r="38" customFormat="false" ht="15" hidden="false" customHeight="false" outlineLevel="0" collapsed="false">
      <c r="A38" s="5" t="s">
        <v>252</v>
      </c>
      <c r="B38" s="71" t="n">
        <v>0</v>
      </c>
      <c r="C38" s="71" t="n">
        <v>0</v>
      </c>
      <c r="D38" s="71" t="n">
        <v>0</v>
      </c>
      <c r="E38" s="71" t="n">
        <v>0</v>
      </c>
      <c r="F38" s="71" t="n">
        <v>0</v>
      </c>
      <c r="G38" s="71" t="n">
        <v>0</v>
      </c>
      <c r="H38" s="71" t="n">
        <v>0</v>
      </c>
      <c r="I38" s="71" t="n">
        <v>0</v>
      </c>
      <c r="J38" s="71" t="n">
        <v>0</v>
      </c>
      <c r="K38" s="71" t="n">
        <v>0</v>
      </c>
      <c r="L38" s="71" t="n">
        <v>0</v>
      </c>
      <c r="M38" s="71" t="n">
        <v>0</v>
      </c>
      <c r="N38" s="71" t="n">
        <v>0</v>
      </c>
    </row>
    <row r="39" customFormat="false" ht="15" hidden="false" customHeight="false" outlineLevel="0" collapsed="false">
      <c r="A39" s="5" t="s">
        <v>253</v>
      </c>
      <c r="B39" s="71" t="n">
        <v>2000</v>
      </c>
      <c r="C39" s="71" t="n">
        <v>4800</v>
      </c>
      <c r="D39" s="71" t="n">
        <v>600</v>
      </c>
      <c r="E39" s="71" t="n">
        <v>1230</v>
      </c>
      <c r="F39" s="71" t="n">
        <v>600</v>
      </c>
      <c r="G39" s="71" t="n">
        <v>1230</v>
      </c>
      <c r="H39" s="71" t="n">
        <v>370</v>
      </c>
      <c r="I39" s="71" t="n">
        <v>500</v>
      </c>
      <c r="J39" s="71" t="n">
        <v>960</v>
      </c>
      <c r="K39" s="71" t="n">
        <v>760</v>
      </c>
      <c r="L39" s="71" t="n">
        <v>760</v>
      </c>
      <c r="M39" s="71" t="n">
        <v>760</v>
      </c>
      <c r="N39" s="71" t="n">
        <v>14570</v>
      </c>
    </row>
    <row r="40" customFormat="false" ht="15" hidden="false" customHeight="false" outlineLevel="0" collapsed="false">
      <c r="A40" s="5" t="s">
        <v>254</v>
      </c>
      <c r="B40" s="71" t="n">
        <v>0</v>
      </c>
      <c r="C40" s="71" t="n">
        <v>0</v>
      </c>
      <c r="D40" s="71" t="n">
        <v>0</v>
      </c>
      <c r="E40" s="71" t="n">
        <v>0</v>
      </c>
      <c r="F40" s="71" t="n">
        <v>0</v>
      </c>
      <c r="G40" s="71" t="n">
        <v>0</v>
      </c>
      <c r="H40" s="71" t="n">
        <v>0</v>
      </c>
      <c r="I40" s="71" t="n">
        <v>0</v>
      </c>
      <c r="J40" s="71" t="n">
        <v>0</v>
      </c>
      <c r="K40" s="71" t="n">
        <v>0</v>
      </c>
      <c r="L40" s="71" t="n">
        <v>0</v>
      </c>
      <c r="M40" s="71" t="n">
        <v>0</v>
      </c>
      <c r="N40" s="71" t="n">
        <v>0</v>
      </c>
    </row>
    <row r="41" customFormat="false" ht="15" hidden="false" customHeight="false" outlineLevel="0" collapsed="false">
      <c r="A41" s="5" t="s">
        <v>255</v>
      </c>
      <c r="B41" s="71" t="n">
        <v>0</v>
      </c>
      <c r="C41" s="71" t="n">
        <v>0</v>
      </c>
      <c r="D41" s="71" t="n">
        <v>0</v>
      </c>
      <c r="E41" s="71" t="n">
        <v>0</v>
      </c>
      <c r="F41" s="71" t="n">
        <v>0</v>
      </c>
      <c r="G41" s="71" t="n">
        <v>0</v>
      </c>
      <c r="H41" s="71" t="n">
        <v>0</v>
      </c>
      <c r="I41" s="71" t="n">
        <v>0</v>
      </c>
      <c r="J41" s="71" t="n">
        <v>0</v>
      </c>
      <c r="K41" s="71" t="n">
        <v>0</v>
      </c>
      <c r="L41" s="71" t="n">
        <v>0</v>
      </c>
      <c r="M41" s="71" t="n">
        <v>0</v>
      </c>
      <c r="N41" s="71" t="n">
        <v>0</v>
      </c>
    </row>
    <row r="42" customFormat="false" ht="15" hidden="false" customHeight="false" outlineLevel="0" collapsed="false">
      <c r="A42" s="5" t="s">
        <v>256</v>
      </c>
      <c r="B42" s="71" t="n">
        <v>90</v>
      </c>
      <c r="C42" s="71" t="n">
        <v>90</v>
      </c>
      <c r="D42" s="71" t="n">
        <v>90</v>
      </c>
      <c r="E42" s="71" t="n">
        <v>90</v>
      </c>
      <c r="F42" s="71" t="n">
        <v>90</v>
      </c>
      <c r="G42" s="71" t="n">
        <v>90</v>
      </c>
      <c r="H42" s="71" t="n">
        <v>90</v>
      </c>
      <c r="I42" s="71" t="n">
        <v>90</v>
      </c>
      <c r="J42" s="71" t="n">
        <v>120</v>
      </c>
      <c r="K42" s="71" t="n">
        <v>90</v>
      </c>
      <c r="L42" s="71" t="n">
        <v>90</v>
      </c>
      <c r="M42" s="71" t="n">
        <v>250</v>
      </c>
      <c r="N42" s="71" t="n">
        <v>1270</v>
      </c>
    </row>
    <row r="43" customFormat="false" ht="15" hidden="false" customHeight="false" outlineLevel="0" collapsed="false">
      <c r="A43" s="5" t="s">
        <v>257</v>
      </c>
      <c r="B43" s="71" t="n">
        <v>126</v>
      </c>
      <c r="C43" s="71" t="n">
        <v>126</v>
      </c>
      <c r="D43" s="71" t="n">
        <v>126</v>
      </c>
      <c r="E43" s="71" t="n">
        <v>126</v>
      </c>
      <c r="F43" s="71" t="n">
        <v>126</v>
      </c>
      <c r="G43" s="71" t="n">
        <v>126</v>
      </c>
      <c r="H43" s="71" t="n">
        <v>126</v>
      </c>
      <c r="I43" s="71" t="n">
        <v>126</v>
      </c>
      <c r="J43" s="71" t="n">
        <v>126</v>
      </c>
      <c r="K43" s="71" t="n">
        <v>126</v>
      </c>
      <c r="L43" s="71" t="n">
        <v>126</v>
      </c>
      <c r="M43" s="71" t="n">
        <v>126</v>
      </c>
      <c r="N43" s="71" t="n">
        <v>1512</v>
      </c>
    </row>
    <row r="44" customFormat="false" ht="15" hidden="false" customHeight="false" outlineLevel="0" collapsed="false">
      <c r="A44" s="5" t="s">
        <v>258</v>
      </c>
      <c r="B44" s="71" t="n">
        <v>10933</v>
      </c>
      <c r="C44" s="71" t="n">
        <v>11433</v>
      </c>
      <c r="D44" s="71" t="n">
        <v>10933</v>
      </c>
      <c r="E44" s="71" t="n">
        <v>10933</v>
      </c>
      <c r="F44" s="71" t="n">
        <v>11433</v>
      </c>
      <c r="G44" s="71" t="n">
        <v>11633</v>
      </c>
      <c r="H44" s="71" t="n">
        <v>11433</v>
      </c>
      <c r="I44" s="71" t="n">
        <v>10933</v>
      </c>
      <c r="J44" s="71" t="n">
        <v>11433</v>
      </c>
      <c r="K44" s="71" t="n">
        <v>10933</v>
      </c>
      <c r="L44" s="71" t="n">
        <v>10933</v>
      </c>
      <c r="M44" s="71" t="n">
        <v>10933</v>
      </c>
      <c r="N44" s="71" t="n">
        <v>133896</v>
      </c>
    </row>
    <row r="45" customFormat="false" ht="15" hidden="false" customHeight="false" outlineLevel="0" collapsed="false">
      <c r="A45" s="5" t="s">
        <v>259</v>
      </c>
      <c r="B45" s="71" t="n">
        <v>0</v>
      </c>
      <c r="C45" s="71" t="n">
        <v>0</v>
      </c>
      <c r="D45" s="71" t="n">
        <v>0</v>
      </c>
      <c r="E45" s="71" t="n">
        <v>0</v>
      </c>
      <c r="F45" s="71" t="n">
        <v>0</v>
      </c>
      <c r="G45" s="71" t="n">
        <v>0</v>
      </c>
      <c r="H45" s="71" t="n">
        <v>0</v>
      </c>
      <c r="I45" s="71" t="n">
        <v>0</v>
      </c>
      <c r="J45" s="71" t="n">
        <v>0</v>
      </c>
      <c r="K45" s="71" t="n">
        <v>0</v>
      </c>
      <c r="L45" s="71" t="n">
        <v>0</v>
      </c>
      <c r="M45" s="71" t="n">
        <v>0</v>
      </c>
      <c r="N45" s="71" t="n">
        <v>0</v>
      </c>
    </row>
    <row r="46" customFormat="false" ht="15" hidden="false" customHeight="false" outlineLevel="0" collapsed="false">
      <c r="A46" s="5" t="s">
        <v>260</v>
      </c>
      <c r="B46" s="71" t="n">
        <v>37971.96</v>
      </c>
      <c r="C46" s="71" t="n">
        <v>40333.9231</v>
      </c>
      <c r="D46" s="71" t="n">
        <v>36034.32</v>
      </c>
      <c r="E46" s="71" t="n">
        <v>37235.6795</v>
      </c>
      <c r="F46" s="71" t="n">
        <v>36164.2441</v>
      </c>
      <c r="G46" s="71" t="n">
        <v>40835.3172</v>
      </c>
      <c r="H46" s="71" t="n">
        <v>37124.5974</v>
      </c>
      <c r="I46" s="71" t="n">
        <v>35166.72</v>
      </c>
      <c r="J46" s="71" t="n">
        <v>39837.3</v>
      </c>
      <c r="K46" s="71" t="n">
        <v>38174.4</v>
      </c>
      <c r="L46" s="71" t="n">
        <v>38656.4</v>
      </c>
      <c r="M46" s="71" t="n">
        <v>37451.4</v>
      </c>
      <c r="N46" s="71" t="n">
        <v>454986.2613</v>
      </c>
    </row>
    <row r="47" customFormat="false" ht="15" hidden="false" customHeight="false" outlineLevel="0" collapsed="false">
      <c r="A47" s="5" t="s">
        <v>261</v>
      </c>
      <c r="B47" s="72" t="n">
        <v>0</v>
      </c>
      <c r="C47" s="72" t="n">
        <v>0</v>
      </c>
      <c r="D47" s="72" t="n">
        <v>0</v>
      </c>
      <c r="E47" s="72" t="n">
        <v>0</v>
      </c>
      <c r="F47" s="72" t="n">
        <v>0</v>
      </c>
      <c r="G47" s="72" t="n">
        <v>0</v>
      </c>
      <c r="H47" s="72" t="n">
        <v>0</v>
      </c>
      <c r="I47" s="72" t="n">
        <v>0</v>
      </c>
      <c r="J47" s="72" t="n">
        <v>0</v>
      </c>
      <c r="K47" s="72" t="n">
        <v>0</v>
      </c>
      <c r="L47" s="72" t="n">
        <v>0</v>
      </c>
      <c r="M47" s="72" t="n">
        <v>0</v>
      </c>
      <c r="N47" s="72" t="n">
        <v>0</v>
      </c>
    </row>
    <row r="48" customFormat="false" ht="15" hidden="false" customHeight="false" outlineLevel="0" collapsed="false">
      <c r="A48" s="5" t="s">
        <v>262</v>
      </c>
      <c r="B48" s="72" t="n">
        <v>0</v>
      </c>
      <c r="C48" s="72" t="n">
        <v>0</v>
      </c>
      <c r="D48" s="72" t="n">
        <v>0</v>
      </c>
      <c r="E48" s="72" t="n">
        <v>0</v>
      </c>
      <c r="F48" s="72" t="n">
        <v>0</v>
      </c>
      <c r="G48" s="72" t="n">
        <v>0</v>
      </c>
      <c r="H48" s="72" t="n">
        <v>0</v>
      </c>
      <c r="I48" s="72" t="n">
        <v>0</v>
      </c>
      <c r="J48" s="72" t="n">
        <v>0</v>
      </c>
      <c r="K48" s="72" t="n">
        <v>0</v>
      </c>
      <c r="L48" s="72" t="n">
        <v>0</v>
      </c>
      <c r="M48" s="72" t="n">
        <v>0</v>
      </c>
      <c r="N48" s="72" t="n">
        <v>0</v>
      </c>
    </row>
    <row r="49" customFormat="false" ht="15" hidden="false" customHeight="false" outlineLevel="0" collapsed="false">
      <c r="A49" s="5" t="s">
        <v>263</v>
      </c>
      <c r="B49" s="71" t="n">
        <v>8837</v>
      </c>
      <c r="C49" s="71" t="n">
        <v>8837</v>
      </c>
      <c r="D49" s="71" t="n">
        <v>8837</v>
      </c>
      <c r="E49" s="71" t="n">
        <v>8837</v>
      </c>
      <c r="F49" s="71" t="n">
        <v>8962</v>
      </c>
      <c r="G49" s="71" t="n">
        <v>8962</v>
      </c>
      <c r="H49" s="71" t="n">
        <v>8837</v>
      </c>
      <c r="I49" s="71" t="n">
        <v>8812</v>
      </c>
      <c r="J49" s="71" t="n">
        <v>8812</v>
      </c>
      <c r="K49" s="71" t="n">
        <v>8812</v>
      </c>
      <c r="L49" s="71" t="n">
        <v>8812</v>
      </c>
      <c r="M49" s="71" t="n">
        <v>8962</v>
      </c>
      <c r="N49" s="71" t="n">
        <v>106319</v>
      </c>
    </row>
    <row r="50" customFormat="false" ht="15" hidden="false" customHeight="false" outlineLevel="0" collapsed="false">
      <c r="A50" s="5" t="s">
        <v>264</v>
      </c>
      <c r="B50" s="71" t="n">
        <v>0</v>
      </c>
      <c r="C50" s="71" t="n">
        <v>0</v>
      </c>
      <c r="D50" s="71" t="n">
        <v>0</v>
      </c>
      <c r="E50" s="71" t="n">
        <v>0</v>
      </c>
      <c r="F50" s="71" t="n">
        <v>0</v>
      </c>
      <c r="G50" s="71" t="n">
        <v>0</v>
      </c>
      <c r="H50" s="71" t="n">
        <v>0</v>
      </c>
      <c r="I50" s="71" t="n">
        <v>0</v>
      </c>
      <c r="J50" s="71" t="n">
        <v>0</v>
      </c>
      <c r="K50" s="71" t="n">
        <v>0</v>
      </c>
      <c r="L50" s="71" t="n">
        <v>0</v>
      </c>
      <c r="M50" s="71" t="n">
        <v>0</v>
      </c>
      <c r="N50" s="71" t="n">
        <v>0</v>
      </c>
    </row>
    <row r="51" customFormat="false" ht="15" hidden="false" customHeight="false" outlineLevel="0" collapsed="false">
      <c r="A51" s="5" t="s">
        <v>265</v>
      </c>
      <c r="B51" s="71" t="n">
        <v>0</v>
      </c>
      <c r="C51" s="71" t="n">
        <v>0</v>
      </c>
      <c r="D51" s="71" t="n">
        <v>0</v>
      </c>
      <c r="E51" s="71" t="n">
        <v>0</v>
      </c>
      <c r="F51" s="71" t="n">
        <v>0</v>
      </c>
      <c r="G51" s="71" t="n">
        <v>0</v>
      </c>
      <c r="H51" s="71" t="n">
        <v>0</v>
      </c>
      <c r="I51" s="71" t="n">
        <v>0</v>
      </c>
      <c r="J51" s="71" t="n">
        <v>0</v>
      </c>
      <c r="K51" s="71" t="n">
        <v>0</v>
      </c>
      <c r="L51" s="71" t="n">
        <v>0</v>
      </c>
      <c r="M51" s="71" t="n">
        <v>0</v>
      </c>
      <c r="N51" s="71" t="n">
        <v>0</v>
      </c>
    </row>
    <row r="52" customFormat="false" ht="15" hidden="false" customHeight="false" outlineLevel="0" collapsed="false">
      <c r="A52" s="5" t="s">
        <v>266</v>
      </c>
      <c r="B52" s="71" t="n">
        <v>1032</v>
      </c>
      <c r="C52" s="71" t="n">
        <v>1032</v>
      </c>
      <c r="D52" s="71" t="n">
        <v>1032</v>
      </c>
      <c r="E52" s="71" t="n">
        <v>1032</v>
      </c>
      <c r="F52" s="71" t="n">
        <v>1032</v>
      </c>
      <c r="G52" s="71" t="n">
        <v>1032</v>
      </c>
      <c r="H52" s="71" t="n">
        <v>1032</v>
      </c>
      <c r="I52" s="71" t="n">
        <v>1032</v>
      </c>
      <c r="J52" s="71" t="n">
        <v>1032</v>
      </c>
      <c r="K52" s="71" t="n">
        <v>1032</v>
      </c>
      <c r="L52" s="71" t="n">
        <v>1032</v>
      </c>
      <c r="M52" s="71" t="n">
        <v>1032</v>
      </c>
      <c r="N52" s="71" t="n">
        <v>12384</v>
      </c>
    </row>
    <row r="53" customFormat="false" ht="15" hidden="false" customHeight="false" outlineLevel="0" collapsed="false">
      <c r="A53" s="5" t="s">
        <v>267</v>
      </c>
      <c r="B53" s="71" t="n">
        <v>0</v>
      </c>
      <c r="C53" s="71" t="n">
        <v>0</v>
      </c>
      <c r="D53" s="71" t="n">
        <v>0</v>
      </c>
      <c r="E53" s="71" t="n">
        <v>0</v>
      </c>
      <c r="F53" s="71" t="n">
        <v>0</v>
      </c>
      <c r="G53" s="71" t="n">
        <v>0</v>
      </c>
      <c r="H53" s="71" t="n">
        <v>0</v>
      </c>
      <c r="I53" s="71" t="n">
        <v>0</v>
      </c>
      <c r="J53" s="71" t="n">
        <v>0</v>
      </c>
      <c r="K53" s="71" t="n">
        <v>0</v>
      </c>
      <c r="L53" s="71" t="n">
        <v>0</v>
      </c>
      <c r="M53" s="71" t="n">
        <v>0</v>
      </c>
      <c r="N53" s="71" t="n">
        <v>0</v>
      </c>
    </row>
    <row r="54" customFormat="false" ht="15" hidden="false" customHeight="false" outlineLevel="0" collapsed="false">
      <c r="A54" s="5" t="s">
        <v>268</v>
      </c>
      <c r="B54" s="71" t="n">
        <v>10</v>
      </c>
      <c r="C54" s="71" t="n">
        <v>10</v>
      </c>
      <c r="D54" s="71" t="n">
        <v>10</v>
      </c>
      <c r="E54" s="71" t="n">
        <v>10</v>
      </c>
      <c r="F54" s="71" t="n">
        <v>10</v>
      </c>
      <c r="G54" s="71" t="n">
        <v>10</v>
      </c>
      <c r="H54" s="71" t="n">
        <v>10</v>
      </c>
      <c r="I54" s="71" t="n">
        <v>10</v>
      </c>
      <c r="J54" s="71" t="n">
        <v>10</v>
      </c>
      <c r="K54" s="71" t="n">
        <v>10</v>
      </c>
      <c r="L54" s="71" t="n">
        <v>10</v>
      </c>
      <c r="M54" s="71" t="n">
        <v>10</v>
      </c>
      <c r="N54" s="71" t="n">
        <v>120</v>
      </c>
    </row>
    <row r="55" customFormat="false" ht="15" hidden="false" customHeight="false" outlineLevel="0" collapsed="false">
      <c r="A55" s="5" t="s">
        <v>197</v>
      </c>
      <c r="B55" s="71" t="n">
        <v>9850.1867</v>
      </c>
      <c r="C55" s="71" t="n">
        <v>9916.8533</v>
      </c>
      <c r="D55" s="71" t="n">
        <v>11149.895</v>
      </c>
      <c r="E55" s="71" t="n">
        <v>11393.2283</v>
      </c>
      <c r="F55" s="71" t="n">
        <v>12143.2283</v>
      </c>
      <c r="G55" s="71" t="n">
        <v>12226.5617</v>
      </c>
      <c r="H55" s="71" t="n">
        <v>12226.5617</v>
      </c>
      <c r="I55" s="71" t="n">
        <v>12476.5617</v>
      </c>
      <c r="J55" s="71" t="n">
        <v>12476.5617</v>
      </c>
      <c r="K55" s="71" t="n">
        <v>12476.5617</v>
      </c>
      <c r="L55" s="71" t="n">
        <v>12476.5617</v>
      </c>
      <c r="M55" s="71" t="n">
        <v>12476.5617</v>
      </c>
      <c r="N55" s="71" t="n">
        <v>141289.3235</v>
      </c>
    </row>
    <row r="56" customFormat="false" ht="15" hidden="false" customHeight="false" outlineLevel="0" collapsed="false">
      <c r="A56" s="5" t="s">
        <v>269</v>
      </c>
      <c r="B56" s="71" t="n">
        <v>984</v>
      </c>
      <c r="C56" s="71" t="n">
        <v>984</v>
      </c>
      <c r="D56" s="71" t="n">
        <v>1014</v>
      </c>
      <c r="E56" s="71" t="n">
        <v>1160</v>
      </c>
      <c r="F56" s="71" t="n">
        <v>1506</v>
      </c>
      <c r="G56" s="71" t="n">
        <v>1605</v>
      </c>
      <c r="H56" s="71" t="n">
        <v>1285</v>
      </c>
      <c r="I56" s="71" t="n">
        <v>1160</v>
      </c>
      <c r="J56" s="71" t="n">
        <v>1190</v>
      </c>
      <c r="K56" s="71" t="n">
        <v>1160</v>
      </c>
      <c r="L56" s="71" t="n">
        <v>1324</v>
      </c>
      <c r="M56" s="71" t="n">
        <v>1741</v>
      </c>
      <c r="N56" s="71" t="n">
        <v>15113</v>
      </c>
    </row>
    <row r="57" customFormat="false" ht="15" hidden="false" customHeight="false" outlineLevel="0" collapsed="false">
      <c r="A57" s="5" t="s">
        <v>270</v>
      </c>
      <c r="B57" s="71" t="n">
        <v>300</v>
      </c>
      <c r="C57" s="71" t="n">
        <v>300</v>
      </c>
      <c r="D57" s="71" t="n">
        <v>300</v>
      </c>
      <c r="E57" s="71" t="n">
        <v>300</v>
      </c>
      <c r="F57" s="71" t="n">
        <v>300</v>
      </c>
      <c r="G57" s="71" t="n">
        <v>300</v>
      </c>
      <c r="H57" s="71" t="n">
        <v>300</v>
      </c>
      <c r="I57" s="71" t="n">
        <v>300</v>
      </c>
      <c r="J57" s="71" t="n">
        <v>300</v>
      </c>
      <c r="K57" s="71" t="n">
        <v>300</v>
      </c>
      <c r="L57" s="71" t="n">
        <v>300</v>
      </c>
      <c r="M57" s="71" t="n">
        <v>300</v>
      </c>
      <c r="N57" s="71" t="n">
        <v>3600</v>
      </c>
    </row>
    <row r="58" customFormat="false" ht="15" hidden="false" customHeight="false" outlineLevel="0" collapsed="false">
      <c r="A58" s="5" t="s">
        <v>271</v>
      </c>
      <c r="B58" s="71" t="n">
        <v>219177.7467</v>
      </c>
      <c r="C58" s="71" t="n">
        <v>226585.3764</v>
      </c>
      <c r="D58" s="71" t="n">
        <v>215497.815</v>
      </c>
      <c r="E58" s="71" t="n">
        <v>218565.5078</v>
      </c>
      <c r="F58" s="71" t="n">
        <v>208982.0724</v>
      </c>
      <c r="G58" s="71" t="n">
        <v>232441.4789</v>
      </c>
      <c r="H58" s="71" t="n">
        <v>221115.7591</v>
      </c>
      <c r="I58" s="71" t="n">
        <v>209676.8817</v>
      </c>
      <c r="J58" s="71" t="n">
        <v>231054.4617</v>
      </c>
      <c r="K58" s="71" t="n">
        <v>221039.5617</v>
      </c>
      <c r="L58" s="71" t="n">
        <v>225189.5617</v>
      </c>
      <c r="M58" s="71" t="n">
        <v>222969.5617</v>
      </c>
      <c r="N58" s="71" t="n">
        <v>2652295.7848</v>
      </c>
    </row>
    <row r="59" customFormat="false" ht="15" hidden="false" customHeight="false" outlineLevel="0" collapsed="false">
      <c r="A59" s="5" t="s">
        <v>272</v>
      </c>
      <c r="B59" s="71" t="n">
        <v>0</v>
      </c>
      <c r="C59" s="71" t="n">
        <v>0</v>
      </c>
      <c r="D59" s="71" t="n">
        <v>0</v>
      </c>
      <c r="E59" s="71" t="n">
        <v>0</v>
      </c>
      <c r="F59" s="71" t="n">
        <v>0</v>
      </c>
      <c r="G59" s="71" t="n">
        <v>0</v>
      </c>
      <c r="H59" s="71" t="n">
        <v>0</v>
      </c>
      <c r="I59" s="71" t="n">
        <v>0</v>
      </c>
      <c r="J59" s="71" t="n">
        <v>0</v>
      </c>
      <c r="K59" s="71" t="n">
        <v>0</v>
      </c>
      <c r="L59" s="71" t="n">
        <v>0</v>
      </c>
      <c r="M59" s="71" t="n">
        <v>0</v>
      </c>
      <c r="N59" s="71" t="n">
        <v>0</v>
      </c>
    </row>
    <row r="60" customFormat="false" ht="15" hidden="false" customHeight="false" outlineLevel="0" collapsed="false">
      <c r="A60" s="5" t="s">
        <v>273</v>
      </c>
      <c r="B60" s="71" t="n">
        <v>4992.25329999998</v>
      </c>
      <c r="C60" s="71" t="n">
        <v>11406.0076</v>
      </c>
      <c r="D60" s="71" t="n">
        <v>-2807.815</v>
      </c>
      <c r="E60" s="71" t="n">
        <v>1098.96319999997</v>
      </c>
      <c r="F60" s="71" t="n">
        <v>4249.44759999999</v>
      </c>
      <c r="G60" s="71" t="n">
        <v>8054.27110000001</v>
      </c>
      <c r="H60" s="71" t="n">
        <v>-2319.89610000001</v>
      </c>
      <c r="I60" s="71" t="n">
        <v>-2565.48170000003</v>
      </c>
      <c r="J60" s="71" t="n">
        <v>3454.53829999999</v>
      </c>
      <c r="K60" s="71" t="n">
        <v>3740.43829999998</v>
      </c>
      <c r="L60" s="71" t="n">
        <v>2410.43829999998</v>
      </c>
      <c r="M60" s="71" t="n">
        <v>-3722.29310000001</v>
      </c>
      <c r="N60" s="71" t="n">
        <v>27990.8717999998</v>
      </c>
    </row>
    <row r="61" customFormat="false" ht="15" hidden="false" customHeight="false" outlineLevel="0" collapsed="false">
      <c r="A61" s="5" t="s">
        <v>274</v>
      </c>
      <c r="B61" s="71" t="n">
        <v>0</v>
      </c>
      <c r="C61" s="71" t="n">
        <v>0</v>
      </c>
      <c r="D61" s="71" t="n">
        <v>0</v>
      </c>
      <c r="E61" s="71" t="n">
        <v>0</v>
      </c>
      <c r="F61" s="71" t="n">
        <v>0</v>
      </c>
      <c r="G61" s="71" t="n">
        <v>0</v>
      </c>
      <c r="H61" s="71" t="n">
        <v>0</v>
      </c>
      <c r="I61" s="71" t="n">
        <v>0</v>
      </c>
      <c r="J61" s="71" t="n">
        <v>0</v>
      </c>
      <c r="K61" s="71" t="n">
        <v>0</v>
      </c>
      <c r="L61" s="71" t="n">
        <v>0</v>
      </c>
      <c r="M61" s="71" t="n">
        <v>0</v>
      </c>
      <c r="N61" s="71" t="n">
        <v>0</v>
      </c>
    </row>
    <row r="62" customFormat="false" ht="15" hidden="false" customHeight="false" outlineLevel="0" collapsed="false">
      <c r="A62" s="5" t="s">
        <v>275</v>
      </c>
      <c r="B62" s="71" t="n">
        <v>0</v>
      </c>
      <c r="C62" s="71" t="n">
        <v>0</v>
      </c>
      <c r="D62" s="71" t="n">
        <v>0</v>
      </c>
      <c r="E62" s="71" t="n">
        <v>0</v>
      </c>
      <c r="F62" s="71" t="n">
        <v>0</v>
      </c>
      <c r="G62" s="71" t="n">
        <v>0</v>
      </c>
      <c r="H62" s="71" t="n">
        <v>0</v>
      </c>
      <c r="I62" s="71" t="n">
        <v>0</v>
      </c>
      <c r="J62" s="71" t="n">
        <v>0</v>
      </c>
      <c r="K62" s="71" t="n">
        <v>0</v>
      </c>
      <c r="L62" s="71" t="n">
        <v>0</v>
      </c>
      <c r="M62" s="71" t="n">
        <v>0</v>
      </c>
      <c r="N62" s="71" t="n">
        <v>0</v>
      </c>
    </row>
    <row r="63" customFormat="false" ht="15" hidden="false" customHeight="false" outlineLevel="0" collapsed="false">
      <c r="A63" s="5" t="s">
        <v>276</v>
      </c>
      <c r="B63" s="71" t="n">
        <v>0</v>
      </c>
      <c r="C63" s="71" t="n">
        <v>0</v>
      </c>
      <c r="D63" s="71" t="n">
        <v>0</v>
      </c>
      <c r="E63" s="71" t="n">
        <v>0</v>
      </c>
      <c r="F63" s="71" t="n">
        <v>0</v>
      </c>
      <c r="G63" s="71" t="n">
        <v>0</v>
      </c>
      <c r="H63" s="71" t="n">
        <v>0</v>
      </c>
      <c r="I63" s="71" t="n">
        <v>0</v>
      </c>
      <c r="J63" s="71" t="n">
        <v>0</v>
      </c>
      <c r="K63" s="71" t="n">
        <v>0</v>
      </c>
      <c r="L63" s="71" t="n">
        <v>0</v>
      </c>
      <c r="M63" s="71" t="n">
        <v>0</v>
      </c>
      <c r="N63" s="71" t="n">
        <v>0</v>
      </c>
    </row>
    <row r="64" customFormat="false" ht="15" hidden="false" customHeight="false" outlineLevel="0" collapsed="false">
      <c r="A64" s="5" t="s">
        <v>277</v>
      </c>
      <c r="B64" s="71" t="n">
        <v>0</v>
      </c>
      <c r="C64" s="71" t="n">
        <v>0</v>
      </c>
      <c r="D64" s="71" t="n">
        <v>0</v>
      </c>
      <c r="E64" s="71" t="n">
        <v>0</v>
      </c>
      <c r="F64" s="71" t="n">
        <v>0</v>
      </c>
      <c r="G64" s="71" t="n">
        <v>0</v>
      </c>
      <c r="H64" s="71" t="n">
        <v>0</v>
      </c>
      <c r="I64" s="71" t="n">
        <v>0</v>
      </c>
      <c r="J64" s="71" t="n">
        <v>0</v>
      </c>
      <c r="K64" s="71" t="n">
        <v>0</v>
      </c>
      <c r="L64" s="71" t="n">
        <v>0</v>
      </c>
      <c r="M64" s="71" t="n">
        <v>0</v>
      </c>
      <c r="N64" s="71" t="n">
        <v>0</v>
      </c>
    </row>
    <row r="65" customFormat="false" ht="15" hidden="false" customHeight="false" outlineLevel="0" collapsed="false">
      <c r="A65" s="5" t="s">
        <v>278</v>
      </c>
      <c r="B65" s="71" t="n">
        <v>0</v>
      </c>
      <c r="C65" s="71" t="n">
        <v>0</v>
      </c>
      <c r="D65" s="71" t="n">
        <v>0</v>
      </c>
      <c r="E65" s="71" t="n">
        <v>0</v>
      </c>
      <c r="F65" s="71" t="n">
        <v>0</v>
      </c>
      <c r="G65" s="71" t="n">
        <v>0</v>
      </c>
      <c r="H65" s="71" t="n">
        <v>0</v>
      </c>
      <c r="I65" s="71" t="n">
        <v>0</v>
      </c>
      <c r="J65" s="71" t="n">
        <v>0</v>
      </c>
      <c r="K65" s="71" t="n">
        <v>0</v>
      </c>
      <c r="L65" s="71" t="n">
        <v>0</v>
      </c>
      <c r="M65" s="71" t="n">
        <v>0</v>
      </c>
      <c r="N65" s="71" t="n">
        <v>0</v>
      </c>
    </row>
    <row r="66" customFormat="false" ht="15" hidden="false" customHeight="false" outlineLevel="0" collapsed="false">
      <c r="A66" s="5" t="s">
        <v>279</v>
      </c>
      <c r="B66" s="71" t="n">
        <v>4992.25329999998</v>
      </c>
      <c r="C66" s="71" t="n">
        <v>11406.0076</v>
      </c>
      <c r="D66" s="71" t="n">
        <v>-2807.815</v>
      </c>
      <c r="E66" s="71" t="n">
        <v>1098.96319999997</v>
      </c>
      <c r="F66" s="71" t="n">
        <v>4249.44759999999</v>
      </c>
      <c r="G66" s="71" t="n">
        <v>8054.27110000001</v>
      </c>
      <c r="H66" s="71" t="n">
        <v>-2319.89610000001</v>
      </c>
      <c r="I66" s="71" t="n">
        <v>-2565.48170000003</v>
      </c>
      <c r="J66" s="71" t="n">
        <v>3454.53829999999</v>
      </c>
      <c r="K66" s="71" t="n">
        <v>3740.43829999998</v>
      </c>
      <c r="L66" s="71" t="n">
        <v>2410.43829999998</v>
      </c>
      <c r="M66" s="71" t="n">
        <v>-3722.29310000001</v>
      </c>
      <c r="N66" s="71" t="n">
        <v>27990.8717999998</v>
      </c>
    </row>
    <row r="67" customFormat="false" ht="14.15" hidden="false" customHeight="false" outlineLevel="0" collapsed="false">
      <c r="A67" s="5" t="s">
        <v>280</v>
      </c>
      <c r="B67" s="72" t="s">
        <v>281</v>
      </c>
      <c r="C67" s="72" t="s">
        <v>282</v>
      </c>
      <c r="D67" s="72" t="s">
        <v>283</v>
      </c>
      <c r="E67" s="72" t="s">
        <v>284</v>
      </c>
      <c r="F67" s="72" t="s">
        <v>285</v>
      </c>
      <c r="G67" s="72" t="s">
        <v>286</v>
      </c>
      <c r="H67" s="72" t="s">
        <v>287</v>
      </c>
      <c r="I67" s="72" t="s">
        <v>288</v>
      </c>
      <c r="J67" s="72" t="s">
        <v>289</v>
      </c>
      <c r="K67" s="72" t="s">
        <v>290</v>
      </c>
      <c r="L67" s="72" t="s">
        <v>291</v>
      </c>
      <c r="M67" s="72" t="s">
        <v>292</v>
      </c>
      <c r="N67" s="72" t="s">
        <v>293</v>
      </c>
    </row>
    <row r="68" customFormat="false" ht="15" hidden="false" customHeight="false" outlineLevel="0" collapsed="false">
      <c r="A68" s="5" t="s">
        <v>294</v>
      </c>
      <c r="B68" s="72" t="n">
        <v>0.613257795423116</v>
      </c>
      <c r="C68" s="72" t="n">
        <v>0.582596721232564</v>
      </c>
      <c r="D68" s="72" t="n">
        <v>0.666707414546993</v>
      </c>
      <c r="E68" s="72" t="n">
        <v>0.639607303631729</v>
      </c>
      <c r="F68" s="72" t="n">
        <v>0.626295774658456</v>
      </c>
      <c r="G68" s="72" t="n">
        <v>0.602181119624775</v>
      </c>
      <c r="H68" s="72" t="n">
        <v>0.661401902283683</v>
      </c>
      <c r="I68" s="72" t="n">
        <v>0.651827953458863</v>
      </c>
      <c r="J68" s="72" t="n">
        <v>0.612718488416223</v>
      </c>
      <c r="K68" s="72" t="n">
        <v>0.61992170121897</v>
      </c>
      <c r="L68" s="72" t="n">
        <v>0.634226713532513</v>
      </c>
      <c r="M68" s="72" t="n">
        <v>0.650443679005085</v>
      </c>
      <c r="N68" s="72" t="n">
        <v>0.629224115206902</v>
      </c>
    </row>
    <row r="69" customFormat="false" ht="15" hidden="false" customHeight="false" outlineLevel="0" collapsed="false">
      <c r="A69" s="5" t="s">
        <v>295</v>
      </c>
      <c r="B69" s="72" t="n">
        <v>0.169389124325289</v>
      </c>
      <c r="C69" s="72" t="n">
        <v>0.169476400456581</v>
      </c>
      <c r="D69" s="72" t="n">
        <v>0.169421787578165</v>
      </c>
      <c r="E69" s="72" t="n">
        <v>0.169511616195775</v>
      </c>
      <c r="F69" s="72" t="n">
        <v>0.169600836217835</v>
      </c>
      <c r="G69" s="72" t="n">
        <v>0.169796419271442</v>
      </c>
      <c r="H69" s="72" t="n">
        <v>0.169676870901348</v>
      </c>
      <c r="I69" s="72" t="n">
        <v>0.169796158009651</v>
      </c>
      <c r="J69" s="72" t="n">
        <v>0.169875356596122</v>
      </c>
      <c r="K69" s="72" t="n">
        <v>0.169830056054809</v>
      </c>
      <c r="L69" s="72" t="n">
        <v>0.169843585237258</v>
      </c>
      <c r="M69" s="72" t="n">
        <v>0.170818091550902</v>
      </c>
      <c r="N69" s="72" t="n">
        <v>0.169752836018353</v>
      </c>
    </row>
    <row r="70" customFormat="false" ht="15" hidden="false" customHeight="false" outlineLevel="0" collapsed="false">
      <c r="A70" s="5" t="s">
        <v>296</v>
      </c>
      <c r="B70" s="72" t="n">
        <v>0</v>
      </c>
      <c r="C70" s="72" t="n">
        <v>0</v>
      </c>
      <c r="D70" s="72" t="n">
        <v>0</v>
      </c>
      <c r="E70" s="72" t="n">
        <v>0</v>
      </c>
      <c r="F70" s="72" t="n">
        <v>0</v>
      </c>
      <c r="G70" s="72" t="n">
        <v>0</v>
      </c>
      <c r="H70" s="72" t="n">
        <v>0</v>
      </c>
      <c r="I70" s="72" t="n">
        <v>0</v>
      </c>
      <c r="J70" s="72" t="n">
        <v>0</v>
      </c>
      <c r="K70" s="72" t="n">
        <v>0</v>
      </c>
      <c r="L70" s="72" t="n">
        <v>0</v>
      </c>
      <c r="M70" s="72" t="n">
        <v>0</v>
      </c>
      <c r="N70" s="72" t="n">
        <v>0</v>
      </c>
    </row>
    <row r="71" customFormat="false" ht="15" hidden="false" customHeight="false" outlineLevel="0" collapsed="false">
      <c r="A71" s="5" t="s">
        <v>297</v>
      </c>
      <c r="B71" s="72" t="n">
        <v>0.0577766280055315</v>
      </c>
      <c r="C71" s="72" t="n">
        <v>0.0547013638947534</v>
      </c>
      <c r="D71" s="72" t="n">
        <v>0.0670059476233015</v>
      </c>
      <c r="E71" s="72" t="n">
        <v>0.0659862208668238</v>
      </c>
      <c r="F71" s="72" t="n">
        <v>0.071494253288632</v>
      </c>
      <c r="G71" s="72" t="n">
        <v>0.0637356863894684</v>
      </c>
      <c r="H71" s="72" t="n">
        <v>0.0700569082515057</v>
      </c>
      <c r="I71" s="72" t="n">
        <v>0.0752163410608977</v>
      </c>
      <c r="J71" s="72" t="n">
        <v>0.0664288436691129</v>
      </c>
      <c r="K71" s="72" t="n">
        <v>0.0693040381706558</v>
      </c>
      <c r="L71" s="72" t="n">
        <v>0.0684453501757469</v>
      </c>
      <c r="M71" s="72" t="n">
        <v>0.0710529339748409</v>
      </c>
      <c r="N71" s="72" t="n">
        <v>0.066600534334802</v>
      </c>
    </row>
    <row r="72" customFormat="false" ht="15" hidden="false" customHeight="false" outlineLevel="0" collapsed="false">
      <c r="A72" s="5" t="s">
        <v>224</v>
      </c>
      <c r="B72" s="72" t="n">
        <v>0.284551916730135</v>
      </c>
      <c r="C72" s="72" t="n">
        <v>0.284405379507882</v>
      </c>
      <c r="D72" s="72" t="n">
        <v>0.284497057249866</v>
      </c>
      <c r="E72" s="72" t="n">
        <v>0.284346294837306</v>
      </c>
      <c r="F72" s="72" t="n">
        <v>0.284196712250128</v>
      </c>
      <c r="G72" s="72" t="n">
        <v>0.283869355230415</v>
      </c>
      <c r="H72" s="72" t="n">
        <v>0.284069359296697</v>
      </c>
      <c r="I72" s="72" t="n">
        <v>0.283869791666667</v>
      </c>
      <c r="J72" s="72" t="n">
        <v>0.283737447065941</v>
      </c>
      <c r="K72" s="72" t="n">
        <v>0.283813131313131</v>
      </c>
      <c r="L72" s="72" t="n">
        <v>0.283790523690773</v>
      </c>
      <c r="M72" s="72" t="n">
        <v>0.282171516859717</v>
      </c>
      <c r="N72" s="72" t="n">
        <v>0.283942237071634</v>
      </c>
    </row>
    <row r="73" customFormat="false" ht="15" hidden="false" customHeight="false" outlineLevel="0" collapsed="false">
      <c r="A73" s="5" t="s">
        <v>298</v>
      </c>
      <c r="B73" s="72" t="n">
        <v>0.174503681137345</v>
      </c>
      <c r="C73" s="72" t="n">
        <v>0.165693641602195</v>
      </c>
      <c r="D73" s="72" t="n">
        <v>0.189676297485286</v>
      </c>
      <c r="E73" s="72" t="n">
        <v>0.181869966938562</v>
      </c>
      <c r="F73" s="72" t="n">
        <v>0.17799120005408</v>
      </c>
      <c r="G73" s="72" t="n">
        <v>0.170940766159814</v>
      </c>
      <c r="H73" s="72" t="n">
        <v>0.187884014619343</v>
      </c>
      <c r="I73" s="72" t="n">
        <v>0.185034265350877</v>
      </c>
      <c r="J73" s="72" t="n">
        <v>0.173851179673321</v>
      </c>
      <c r="K73" s="72" t="n">
        <v>0.175941919191919</v>
      </c>
      <c r="L73" s="72" t="n">
        <v>0.17998753117207</v>
      </c>
      <c r="M73" s="72" t="n">
        <v>0.18353667953668</v>
      </c>
      <c r="N73" s="72" t="n">
        <v>0.178663302891267</v>
      </c>
    </row>
    <row r="74" customFormat="false" ht="15" hidden="false" customHeight="false" outlineLevel="0" collapsed="false">
      <c r="A74" s="5" t="s">
        <v>299</v>
      </c>
      <c r="B74" s="72" t="n">
        <v>0.0482</v>
      </c>
      <c r="C74" s="72" t="n">
        <v>0.0481999999894838</v>
      </c>
      <c r="D74" s="72" t="n">
        <v>0.0482</v>
      </c>
      <c r="E74" s="72" t="n">
        <v>0.0481999999971522</v>
      </c>
      <c r="F74" s="72" t="n">
        <v>0.0482000000479811</v>
      </c>
      <c r="G74" s="72" t="n">
        <v>0.0482000000590175</v>
      </c>
      <c r="H74" s="72" t="n">
        <v>0.0482000000044143</v>
      </c>
      <c r="I74" s="72" t="n">
        <v>0.0482</v>
      </c>
      <c r="J74" s="72" t="n">
        <v>0.0482</v>
      </c>
      <c r="K74" s="72" t="n">
        <v>0.0482</v>
      </c>
      <c r="L74" s="72" t="n">
        <v>0.0482</v>
      </c>
      <c r="M74" s="72" t="n">
        <v>0.0482</v>
      </c>
      <c r="N74" s="72" t="n">
        <v>0.0482000000083055</v>
      </c>
    </row>
    <row r="75" customFormat="false" ht="15" hidden="false" customHeight="false" outlineLevel="0" collapsed="false">
      <c r="A75" s="5" t="s">
        <v>300</v>
      </c>
      <c r="B75" s="72" t="n">
        <v>0</v>
      </c>
      <c r="C75" s="72" t="n">
        <v>0</v>
      </c>
      <c r="D75" s="72" t="n">
        <v>0</v>
      </c>
      <c r="E75" s="72" t="n">
        <v>0</v>
      </c>
      <c r="F75" s="72" t="n">
        <v>0</v>
      </c>
      <c r="G75" s="72" t="n">
        <v>0</v>
      </c>
      <c r="H75" s="72" t="n">
        <v>0</v>
      </c>
      <c r="I75" s="72" t="n">
        <v>0</v>
      </c>
      <c r="J75" s="72" t="n">
        <v>0</v>
      </c>
      <c r="K75" s="72" t="n">
        <v>0</v>
      </c>
      <c r="L75" s="72" t="n">
        <v>0</v>
      </c>
      <c r="M75" s="72" t="n">
        <v>0</v>
      </c>
      <c r="N75" s="72" t="n">
        <v>0</v>
      </c>
    </row>
    <row r="76" customFormat="false" ht="15" hidden="false" customHeight="false" outlineLevel="0" collapsed="false">
      <c r="A76" s="5" t="s">
        <v>301</v>
      </c>
      <c r="B76" s="72" t="n">
        <v>0.016440450241178</v>
      </c>
      <c r="C76" s="72" t="n">
        <v>0.0155573621580861</v>
      </c>
      <c r="D76" s="72" t="n">
        <v>0.019062994917068</v>
      </c>
      <c r="E76" s="72" t="n">
        <v>0.0187629374137975</v>
      </c>
      <c r="F76" s="72" t="n">
        <v>0.0203184317294071</v>
      </c>
      <c r="G76" s="72" t="n">
        <v>0.0180926082005463</v>
      </c>
      <c r="H76" s="72" t="n">
        <v>0.0199010210413127</v>
      </c>
      <c r="I76" s="72" t="n">
        <v>0.021351647066886</v>
      </c>
      <c r="J76" s="72" t="n">
        <v>0.0188483505142166</v>
      </c>
      <c r="K76" s="72" t="n">
        <v>0.0196693960858586</v>
      </c>
      <c r="L76" s="72" t="n">
        <v>0.0194241417705736</v>
      </c>
      <c r="M76" s="72" t="n">
        <v>0.0200491141570142</v>
      </c>
      <c r="N76" s="72" t="n">
        <v>0.0189107047091899</v>
      </c>
    </row>
    <row r="77" customFormat="false" ht="15" hidden="false" customHeight="false" outlineLevel="0" collapsed="false">
      <c r="A77" s="5" t="s">
        <v>302</v>
      </c>
      <c r="B77" s="72" t="n">
        <v>0.00633695519167299</v>
      </c>
      <c r="C77" s="72" t="n">
        <v>0.0136304510929176</v>
      </c>
      <c r="D77" s="72" t="n">
        <v>-0.00375577180310327</v>
      </c>
      <c r="E77" s="72" t="n">
        <v>0.00142256102072392</v>
      </c>
      <c r="F77" s="72" t="n">
        <v>0.00566369848509823</v>
      </c>
      <c r="G77" s="72" t="n">
        <v>0.00950686548102396</v>
      </c>
      <c r="H77" s="72" t="n">
        <v>-0.00301199204466636</v>
      </c>
      <c r="I77" s="72" t="n">
        <v>-0.00351628522478075</v>
      </c>
      <c r="J77" s="72" t="n">
        <v>0.004179719661222</v>
      </c>
      <c r="K77" s="72" t="n">
        <v>0.00472277563131311</v>
      </c>
      <c r="L77" s="72" t="n">
        <v>0.00300553403990022</v>
      </c>
      <c r="M77" s="72" t="n">
        <v>-0.00479059601029602</v>
      </c>
      <c r="N77" s="72" t="n">
        <v>0.00296527639568195</v>
      </c>
    </row>
    <row r="78" customFormat="false" ht="15" hidden="false" customHeight="false" outlineLevel="0" collapsed="false">
      <c r="A78" s="5" t="s">
        <v>303</v>
      </c>
      <c r="B78" s="72" t="n">
        <v>0.278214961538462</v>
      </c>
      <c r="C78" s="72" t="n">
        <v>0.270774928414965</v>
      </c>
      <c r="D78" s="72" t="n">
        <v>0.28825282905297</v>
      </c>
      <c r="E78" s="72" t="n">
        <v>0.282923733816582</v>
      </c>
      <c r="F78" s="72" t="n">
        <v>0.27853301376503</v>
      </c>
      <c r="G78" s="72" t="n">
        <v>0.274362489749391</v>
      </c>
      <c r="H78" s="72" t="n">
        <v>0.287081351341364</v>
      </c>
      <c r="I78" s="72" t="n">
        <v>0.287386076891447</v>
      </c>
      <c r="J78" s="72" t="n">
        <v>0.279557727404719</v>
      </c>
      <c r="K78" s="72" t="n">
        <v>0.279090355681818</v>
      </c>
      <c r="L78" s="72" t="n">
        <v>0.280784989650873</v>
      </c>
      <c r="M78" s="72" t="n">
        <v>0.286962112870013</v>
      </c>
      <c r="N78" s="72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32" t="s">
        <v>304</v>
      </c>
    </row>
    <row r="2" customFormat="false" ht="15" hidden="false" customHeight="false" outlineLevel="0" collapsed="false">
      <c r="B2" s="12" t="s">
        <v>305</v>
      </c>
    </row>
    <row r="4" customFormat="false" ht="30" hidden="false" customHeight="true" outlineLevel="0" collapsed="false">
      <c r="B4" s="25" t="s">
        <v>214</v>
      </c>
      <c r="C4" s="24" t="s">
        <v>215</v>
      </c>
      <c r="D4" s="24" t="s">
        <v>216</v>
      </c>
      <c r="E4" s="24" t="s">
        <v>217</v>
      </c>
      <c r="F4" s="24" t="s">
        <v>218</v>
      </c>
      <c r="G4" s="24" t="s">
        <v>219</v>
      </c>
      <c r="H4" s="24" t="s">
        <v>220</v>
      </c>
      <c r="I4" s="24" t="s">
        <v>36</v>
      </c>
      <c r="J4" s="24" t="s">
        <v>37</v>
      </c>
      <c r="K4" s="24" t="s">
        <v>38</v>
      </c>
      <c r="L4" s="24" t="s">
        <v>39</v>
      </c>
      <c r="M4" s="24" t="s">
        <v>40</v>
      </c>
      <c r="N4" s="24" t="s">
        <v>41</v>
      </c>
      <c r="O4" s="24" t="s">
        <v>221</v>
      </c>
      <c r="P4" s="25" t="s">
        <v>306</v>
      </c>
    </row>
    <row r="5" customFormat="false" ht="15" hidden="false" customHeight="false" outlineLevel="0" collapsed="false">
      <c r="B5" s="73" t="s">
        <v>307</v>
      </c>
      <c r="C5" s="74" t="n">
        <f aca="false">DATE(2026,7+0,1)</f>
        <v>46204</v>
      </c>
      <c r="D5" s="74" t="n">
        <f aca="false">DATE(2026,7+1,1)</f>
        <v>46235</v>
      </c>
      <c r="E5" s="74" t="n">
        <f aca="false">DATE(2026,7+2,1)</f>
        <v>46266</v>
      </c>
      <c r="F5" s="74" t="n">
        <f aca="false">DATE(2026,7+3,1)</f>
        <v>46296</v>
      </c>
      <c r="G5" s="74" t="n">
        <f aca="false">DATE(2026,7+4,1)</f>
        <v>46327</v>
      </c>
      <c r="H5" s="74" t="n">
        <f aca="false">DATE(2026,7+5,1)</f>
        <v>46357</v>
      </c>
      <c r="I5" s="74" t="n">
        <f aca="false">DATE(2026,7+6,1)</f>
        <v>46388</v>
      </c>
      <c r="J5" s="74" t="n">
        <f aca="false">DATE(2026,7+7,1)</f>
        <v>46419</v>
      </c>
      <c r="K5" s="74" t="n">
        <f aca="false">DATE(2026,7+8,1)</f>
        <v>46447</v>
      </c>
      <c r="L5" s="74" t="n">
        <f aca="false">DATE(2026,7+9,1)</f>
        <v>46478</v>
      </c>
      <c r="M5" s="74" t="n">
        <f aca="false">DATE(2026,7+10,1)</f>
        <v>46508</v>
      </c>
      <c r="N5" s="74" t="n">
        <f aca="false">DATE(2026,7+11,1)</f>
        <v>46539</v>
      </c>
    </row>
    <row r="7" customFormat="false" ht="15" hidden="false" customHeight="false" outlineLevel="0" collapsed="false">
      <c r="B7" s="19" t="s">
        <v>308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5" t="s">
        <v>309</v>
      </c>
      <c r="C8" s="62" t="n">
        <f aca="false">予算原本_白鳥惣菜!B4</f>
        <v>787800</v>
      </c>
      <c r="D8" s="62" t="n">
        <f aca="false">予算原本_白鳥惣菜!C4</f>
        <v>836803.384</v>
      </c>
      <c r="E8" s="62" t="n">
        <f aca="false">予算原本_白鳥惣菜!D4</f>
        <v>747600</v>
      </c>
      <c r="F8" s="62" t="n">
        <f aca="false">予算原本_白鳥惣菜!E4</f>
        <v>772524.471</v>
      </c>
      <c r="G8" s="62" t="n">
        <f aca="false">予算原本_白鳥惣菜!F4</f>
        <v>750295.52</v>
      </c>
      <c r="H8" s="62" t="n">
        <f aca="false">予算原本_白鳥惣菜!G4</f>
        <v>847205.75</v>
      </c>
      <c r="I8" s="62" t="n">
        <f aca="false">予算原本_白鳥惣菜!H4</f>
        <v>770219.863</v>
      </c>
      <c r="J8" s="62" t="n">
        <f aca="false">予算原本_白鳥惣菜!I4</f>
        <v>729600</v>
      </c>
      <c r="K8" s="62" t="n">
        <f aca="false">予算原本_白鳥惣菜!J4</f>
        <v>826500</v>
      </c>
      <c r="L8" s="62" t="n">
        <f aca="false">予算原本_白鳥惣菜!K4</f>
        <v>792000</v>
      </c>
      <c r="M8" s="62" t="n">
        <f aca="false">予算原本_白鳥惣菜!L4</f>
        <v>802000</v>
      </c>
      <c r="N8" s="62" t="n">
        <f aca="false">予算原本_白鳥惣菜!M4</f>
        <v>777000</v>
      </c>
      <c r="O8" s="63" t="n">
        <f aca="false">SUM(C8:N8)</f>
        <v>9439548.988</v>
      </c>
      <c r="P8" s="63" t="n">
        <f aca="false">SUM(I8:N8)</f>
        <v>4697319.863</v>
      </c>
    </row>
    <row r="9" customFormat="false" ht="15" hidden="false" customHeight="false" outlineLevel="0" collapsed="false">
      <c r="B9" s="5" t="s">
        <v>223</v>
      </c>
      <c r="C9" s="62" t="n">
        <f aca="false">予算原本_白鳥惣菜!B5</f>
        <v>224170</v>
      </c>
      <c r="D9" s="62" t="n">
        <f aca="false">予算原本_白鳥惣菜!C5</f>
        <v>237991.384</v>
      </c>
      <c r="E9" s="62" t="n">
        <f aca="false">予算原本_白鳥惣菜!D5</f>
        <v>212690</v>
      </c>
      <c r="F9" s="62" t="n">
        <f aca="false">予算原本_白鳥惣菜!E5</f>
        <v>219664.471</v>
      </c>
      <c r="G9" s="62" t="n">
        <f aca="false">予算原本_白鳥惣菜!F5</f>
        <v>213231.52</v>
      </c>
      <c r="H9" s="62" t="n">
        <f aca="false">予算原本_白鳥惣菜!G5</f>
        <v>240495.75</v>
      </c>
      <c r="I9" s="62" t="n">
        <f aca="false">予算原本_白鳥惣菜!H5</f>
        <v>218795.863</v>
      </c>
      <c r="J9" s="62" t="n">
        <f aca="false">予算原本_白鳥惣菜!I5</f>
        <v>207111.4</v>
      </c>
      <c r="K9" s="62" t="n">
        <f aca="false">予算原本_白鳥惣菜!J5</f>
        <v>234509</v>
      </c>
      <c r="L9" s="62" t="n">
        <f aca="false">予算原本_白鳥惣菜!K5</f>
        <v>224780</v>
      </c>
      <c r="M9" s="62" t="n">
        <f aca="false">予算原本_白鳥惣菜!L5</f>
        <v>227600</v>
      </c>
      <c r="N9" s="62" t="n">
        <f aca="false">予算原本_白鳥惣菜!M5</f>
        <v>219247.2686</v>
      </c>
      <c r="O9" s="63" t="n">
        <f aca="false">SUM(C9:N9)</f>
        <v>2680286.6566</v>
      </c>
      <c r="P9" s="63" t="n">
        <f aca="false">SUM(I9:N9)</f>
        <v>1332043.5316</v>
      </c>
    </row>
    <row r="10" customFormat="false" ht="15" hidden="false" customHeight="false" outlineLevel="0" collapsed="false">
      <c r="B10" s="5" t="s">
        <v>224</v>
      </c>
      <c r="C10" s="75" t="n">
        <f aca="false">IF(C8=0,0,C9/C8)</f>
        <v>0.284551916730135</v>
      </c>
      <c r="D10" s="75" t="n">
        <f aca="false">IF(D8=0,0,D9/D8)</f>
        <v>0.284405379507882</v>
      </c>
      <c r="E10" s="75" t="n">
        <f aca="false">IF(E8=0,0,E9/E8)</f>
        <v>0.284497057249866</v>
      </c>
      <c r="F10" s="75" t="n">
        <f aca="false">IF(F8=0,0,F9/F8)</f>
        <v>0.284346294837306</v>
      </c>
      <c r="G10" s="75" t="n">
        <f aca="false">IF(G8=0,0,G9/G8)</f>
        <v>0.284196712250128</v>
      </c>
      <c r="H10" s="75" t="n">
        <f aca="false">IF(H8=0,0,H9/H8)</f>
        <v>0.283869355230415</v>
      </c>
      <c r="I10" s="75" t="n">
        <f aca="false">IF(I8=0,0,I9/I8)</f>
        <v>0.284069359296697</v>
      </c>
      <c r="J10" s="75" t="n">
        <f aca="false">IF(J8=0,0,J9/J8)</f>
        <v>0.283869791666667</v>
      </c>
      <c r="K10" s="75" t="n">
        <f aca="false">IF(K8=0,0,K9/K8)</f>
        <v>0.283737447065941</v>
      </c>
      <c r="L10" s="75" t="n">
        <f aca="false">IF(L8=0,0,L9/L8)</f>
        <v>0.283813131313131</v>
      </c>
      <c r="M10" s="75" t="n">
        <f aca="false">IF(M8=0,0,M9/M8)</f>
        <v>0.283790523690773</v>
      </c>
      <c r="N10" s="75" t="n">
        <f aca="false">IF(N8=0,0,N9/N8)</f>
        <v>0.282171516859717</v>
      </c>
      <c r="O10" s="75" t="n">
        <f aca="false">IF(O8=0,0,O9/O8)</f>
        <v>0.283942237071634</v>
      </c>
      <c r="P10" s="75" t="n">
        <f aca="false">IF(P8=0,0,P9/P8)</f>
        <v>0.283575223840361</v>
      </c>
    </row>
    <row r="11" customFormat="false" ht="15" hidden="false" customHeight="false" outlineLevel="0" collapsed="false">
      <c r="B11" s="5" t="s">
        <v>310</v>
      </c>
      <c r="C11" s="62" t="n">
        <f aca="false">予算原本_白鳥惣菜!B19</f>
        <v>137474</v>
      </c>
      <c r="D11" s="62" t="n">
        <f aca="false">予算原本_白鳥惣菜!C19</f>
        <v>138653</v>
      </c>
      <c r="E11" s="62" t="n">
        <f aca="false">予算原本_白鳥惣菜!D19</f>
        <v>141802</v>
      </c>
      <c r="F11" s="62" t="n">
        <f aca="false">予算原本_白鳥惣菜!E19</f>
        <v>140499</v>
      </c>
      <c r="G11" s="62" t="n">
        <f aca="false">予算原本_白鳥惣菜!F19</f>
        <v>133546</v>
      </c>
      <c r="H11" s="62" t="n">
        <f aca="false">予算原本_白鳥惣菜!G19</f>
        <v>144822</v>
      </c>
      <c r="I11" s="62" t="n">
        <f aca="false">予算原本_白鳥惣菜!H19</f>
        <v>144712</v>
      </c>
      <c r="J11" s="62" t="n">
        <f aca="false">予算原本_白鳥惣菜!I19</f>
        <v>135001</v>
      </c>
      <c r="K11" s="62" t="n">
        <f aca="false">予算原本_白鳥惣菜!J19</f>
        <v>143688</v>
      </c>
      <c r="L11" s="62" t="n">
        <f aca="false">予算原本_白鳥惣菜!K19</f>
        <v>139346</v>
      </c>
      <c r="M11" s="62" t="n">
        <f aca="false">予算原本_白鳥惣菜!L19</f>
        <v>144350</v>
      </c>
      <c r="N11" s="62" t="n">
        <f aca="false">予算原本_白鳥惣菜!M19</f>
        <v>142608</v>
      </c>
      <c r="O11" s="63" t="n">
        <f aca="false">SUM(C11:N11)</f>
        <v>1686501</v>
      </c>
      <c r="P11" s="63" t="n">
        <f aca="false">SUM(I11:N11)</f>
        <v>849705</v>
      </c>
    </row>
    <row r="12" customFormat="false" ht="15" hidden="false" customHeight="false" outlineLevel="0" collapsed="false">
      <c r="B12" s="5" t="s">
        <v>311</v>
      </c>
      <c r="C12" s="62" t="n">
        <f aca="false">予算原本_白鳥惣菜!B22</f>
        <v>18960</v>
      </c>
      <c r="D12" s="62" t="n">
        <f aca="false">予算原本_白鳥惣菜!C22</f>
        <v>19440</v>
      </c>
      <c r="E12" s="62" t="n">
        <f aca="false">予算原本_白鳥惣菜!D22</f>
        <v>18000</v>
      </c>
      <c r="F12" s="62" t="n">
        <f aca="false">予算原本_白鳥惣菜!E22</f>
        <v>18120</v>
      </c>
      <c r="G12" s="62" t="n">
        <f aca="false">予算原本_白鳥惣菜!F22</f>
        <v>18724</v>
      </c>
      <c r="H12" s="62" t="n">
        <f aca="false">予算原本_白鳥惣菜!G22</f>
        <v>20336</v>
      </c>
      <c r="I12" s="62" t="n">
        <f aca="false">予算原本_白鳥惣菜!H22</f>
        <v>18600</v>
      </c>
      <c r="J12" s="62" t="n">
        <f aca="false">予算原本_白鳥惣菜!I22</f>
        <v>18450</v>
      </c>
      <c r="K12" s="62" t="n">
        <f aca="false">予算原本_白鳥惣菜!J22</f>
        <v>19840</v>
      </c>
      <c r="L12" s="62" t="n">
        <f aca="false">予算原本_白鳥惣菜!K22</f>
        <v>18600</v>
      </c>
      <c r="M12" s="62" t="n">
        <f aca="false">予算原本_白鳥惣菜!L22</f>
        <v>19592</v>
      </c>
      <c r="N12" s="62" t="n">
        <f aca="false">予算原本_白鳥惣菜!M22</f>
        <v>18724</v>
      </c>
      <c r="O12" s="63" t="n">
        <f aca="false">SUM(C12:N12)</f>
        <v>227386</v>
      </c>
      <c r="P12" s="63" t="n">
        <f aca="false">SUM(I12:N12)</f>
        <v>113806</v>
      </c>
    </row>
    <row r="13" customFormat="false" ht="15" hidden="false" customHeight="false" outlineLevel="0" collapsed="false">
      <c r="B13" s="5" t="s">
        <v>312</v>
      </c>
      <c r="C13" s="62" t="n">
        <f aca="false">予算原本_白鳥惣菜!B32</f>
        <v>2069.6</v>
      </c>
      <c r="D13" s="62" t="n">
        <f aca="false">予算原本_白鳥惣菜!C32</f>
        <v>2069.6</v>
      </c>
      <c r="E13" s="62" t="n">
        <f aca="false">予算原本_白鳥惣菜!D32</f>
        <v>2069.6</v>
      </c>
      <c r="F13" s="62" t="n">
        <f aca="false">予算原本_白鳥惣菜!E32</f>
        <v>2069.6</v>
      </c>
      <c r="G13" s="62" t="n">
        <f aca="false">予算原本_白鳥惣菜!F32</f>
        <v>2069.6</v>
      </c>
      <c r="H13" s="62" t="n">
        <f aca="false">予算原本_白鳥惣菜!G32</f>
        <v>2069.6</v>
      </c>
      <c r="I13" s="62" t="n">
        <f aca="false">予算原本_白鳥惣菜!H32</f>
        <v>2069.6</v>
      </c>
      <c r="J13" s="62" t="n">
        <f aca="false">予算原本_白鳥惣菜!I32</f>
        <v>2069.6</v>
      </c>
      <c r="K13" s="62" t="n">
        <f aca="false">予算原本_白鳥惣菜!J32</f>
        <v>2069.6</v>
      </c>
      <c r="L13" s="62" t="n">
        <f aca="false">予算原本_白鳥惣菜!K32</f>
        <v>2069.6</v>
      </c>
      <c r="M13" s="62" t="n">
        <f aca="false">予算原本_白鳥惣菜!L32</f>
        <v>2069.6</v>
      </c>
      <c r="N13" s="62" t="n">
        <f aca="false">予算原本_白鳥惣菜!M32</f>
        <v>2069.6</v>
      </c>
      <c r="O13" s="63" t="n">
        <f aca="false">SUM(C13:N13)</f>
        <v>24835.2</v>
      </c>
      <c r="P13" s="63" t="n">
        <f aca="false">SUM(I13:N13)</f>
        <v>12417.6</v>
      </c>
    </row>
    <row r="14" customFormat="false" ht="15" hidden="false" customHeight="false" outlineLevel="0" collapsed="false">
      <c r="B14" s="5" t="s">
        <v>250</v>
      </c>
      <c r="C14" s="62" t="n">
        <f aca="false">予算原本_白鳥惣菜!B36</f>
        <v>79634.1467</v>
      </c>
      <c r="D14" s="62" t="n">
        <f aca="false">予算原本_白鳥惣菜!C36</f>
        <v>85862.7764</v>
      </c>
      <c r="E14" s="62" t="n">
        <f aca="false">予算原本_白鳥惣菜!D36</f>
        <v>71626.215</v>
      </c>
      <c r="F14" s="62" t="n">
        <f aca="false">予算原本_白鳥惣菜!E36</f>
        <v>75996.9078</v>
      </c>
      <c r="G14" s="62" t="n">
        <f aca="false">予算原本_白鳥惣菜!F36</f>
        <v>73366.4724</v>
      </c>
      <c r="H14" s="62" t="n">
        <f aca="false">予算原本_白鳥惣菜!G36</f>
        <v>85549.8789</v>
      </c>
      <c r="I14" s="62" t="n">
        <f aca="false">予算原本_白鳥惣菜!H36</f>
        <v>74334.1591</v>
      </c>
      <c r="J14" s="62" t="n">
        <f aca="false">予算原本_白鳥惣菜!I36</f>
        <v>72606.2817</v>
      </c>
      <c r="K14" s="62" t="n">
        <f aca="false">予算原本_白鳥惣菜!J36</f>
        <v>85296.8617</v>
      </c>
      <c r="L14" s="62" t="n">
        <f aca="false">予算原本_白鳥惣菜!K36</f>
        <v>79623.9617</v>
      </c>
      <c r="M14" s="62" t="n">
        <f aca="false">予算原本_白鳥惣菜!L36</f>
        <v>78769.9617</v>
      </c>
      <c r="N14" s="62" t="n">
        <f aca="false">予算原本_白鳥惣菜!M36</f>
        <v>78291.9617</v>
      </c>
      <c r="O14" s="63" t="n">
        <f aca="false">SUM(C14:N14)</f>
        <v>940959.5848</v>
      </c>
      <c r="P14" s="63" t="n">
        <f aca="false">SUM(I14:N14)</f>
        <v>468923.1876</v>
      </c>
    </row>
    <row r="15" customFormat="false" ht="15" hidden="false" customHeight="false" outlineLevel="0" collapsed="false">
      <c r="B15" s="5" t="s">
        <v>313</v>
      </c>
      <c r="C15" s="62" t="n">
        <f aca="false">予算原本_白鳥惣菜!B37</f>
        <v>7500</v>
      </c>
      <c r="D15" s="62" t="n">
        <f aca="false">予算原本_白鳥惣菜!C37</f>
        <v>8000</v>
      </c>
      <c r="E15" s="62" t="n">
        <f aca="false">予算原本_白鳥惣菜!D37</f>
        <v>1500</v>
      </c>
      <c r="F15" s="62" t="n">
        <f aca="false">予算原本_白鳥惣菜!E37</f>
        <v>3650</v>
      </c>
      <c r="G15" s="62" t="n">
        <f aca="false">予算原本_白鳥惣菜!F37</f>
        <v>1000</v>
      </c>
      <c r="H15" s="62" t="n">
        <f aca="false">予算原本_白鳥惣菜!G37</f>
        <v>7500</v>
      </c>
      <c r="I15" s="62" t="n">
        <f aca="false">予算原本_白鳥惣菜!H37</f>
        <v>1500</v>
      </c>
      <c r="J15" s="62" t="n">
        <f aca="false">予算原本_白鳥惣菜!I37</f>
        <v>2000</v>
      </c>
      <c r="K15" s="62" t="n">
        <f aca="false">予算原本_白鳥惣菜!J37</f>
        <v>9000</v>
      </c>
      <c r="L15" s="62" t="n">
        <f aca="false">予算原本_白鳥惣菜!K37</f>
        <v>5750</v>
      </c>
      <c r="M15" s="62" t="n">
        <f aca="false">予算原本_白鳥惣菜!L37</f>
        <v>4250</v>
      </c>
      <c r="N15" s="62" t="n">
        <f aca="false">予算原本_白鳥惣菜!M37</f>
        <v>4250</v>
      </c>
      <c r="O15" s="63" t="n">
        <f aca="false">SUM(C15:N15)</f>
        <v>55900</v>
      </c>
      <c r="P15" s="63" t="n">
        <f aca="false">SUM(I15:N15)</f>
        <v>26750</v>
      </c>
    </row>
    <row r="16" customFormat="false" ht="15" hidden="false" customHeight="false" outlineLevel="0" collapsed="false">
      <c r="B16" s="5" t="s">
        <v>314</v>
      </c>
      <c r="C16" s="62" t="n">
        <f aca="false">予算原本_白鳥惣菜!B44</f>
        <v>10933</v>
      </c>
      <c r="D16" s="62" t="n">
        <f aca="false">予算原本_白鳥惣菜!C44</f>
        <v>11433</v>
      </c>
      <c r="E16" s="62" t="n">
        <f aca="false">予算原本_白鳥惣菜!D44</f>
        <v>10933</v>
      </c>
      <c r="F16" s="62" t="n">
        <f aca="false">予算原本_白鳥惣菜!E44</f>
        <v>10933</v>
      </c>
      <c r="G16" s="62" t="n">
        <f aca="false">予算原本_白鳥惣菜!F44</f>
        <v>11433</v>
      </c>
      <c r="H16" s="62" t="n">
        <f aca="false">予算原本_白鳥惣菜!G44</f>
        <v>11633</v>
      </c>
      <c r="I16" s="62" t="n">
        <f aca="false">予算原本_白鳥惣菜!H44</f>
        <v>11433</v>
      </c>
      <c r="J16" s="62" t="n">
        <f aca="false">予算原本_白鳥惣菜!I44</f>
        <v>10933</v>
      </c>
      <c r="K16" s="62" t="n">
        <f aca="false">予算原本_白鳥惣菜!J44</f>
        <v>11433</v>
      </c>
      <c r="L16" s="62" t="n">
        <f aca="false">予算原本_白鳥惣菜!K44</f>
        <v>10933</v>
      </c>
      <c r="M16" s="62" t="n">
        <f aca="false">予算原本_白鳥惣菜!L44</f>
        <v>10933</v>
      </c>
      <c r="N16" s="62" t="n">
        <f aca="false">予算原本_白鳥惣菜!M44</f>
        <v>10933</v>
      </c>
      <c r="O16" s="63" t="n">
        <f aca="false">SUM(C16:N16)</f>
        <v>133896</v>
      </c>
      <c r="P16" s="63" t="n">
        <f aca="false">SUM(I16:N16)</f>
        <v>66598</v>
      </c>
    </row>
    <row r="17" customFormat="false" ht="15" hidden="false" customHeight="false" outlineLevel="0" collapsed="false">
      <c r="B17" s="5" t="s">
        <v>315</v>
      </c>
      <c r="C17" s="62" t="n">
        <f aca="false">予算原本_白鳥惣菜!B39</f>
        <v>2000</v>
      </c>
      <c r="D17" s="62" t="n">
        <f aca="false">予算原本_白鳥惣菜!C39</f>
        <v>4800</v>
      </c>
      <c r="E17" s="62" t="n">
        <f aca="false">予算原本_白鳥惣菜!D39</f>
        <v>600</v>
      </c>
      <c r="F17" s="62" t="n">
        <f aca="false">予算原本_白鳥惣菜!E39</f>
        <v>1230</v>
      </c>
      <c r="G17" s="62" t="n">
        <f aca="false">予算原本_白鳥惣菜!F39</f>
        <v>600</v>
      </c>
      <c r="H17" s="62" t="n">
        <f aca="false">予算原本_白鳥惣菜!G39</f>
        <v>1230</v>
      </c>
      <c r="I17" s="62" t="n">
        <f aca="false">予算原本_白鳥惣菜!H39</f>
        <v>370</v>
      </c>
      <c r="J17" s="62" t="n">
        <f aca="false">予算原本_白鳥惣菜!I39</f>
        <v>500</v>
      </c>
      <c r="K17" s="62" t="n">
        <f aca="false">予算原本_白鳥惣菜!J39</f>
        <v>960</v>
      </c>
      <c r="L17" s="62" t="n">
        <f aca="false">予算原本_白鳥惣菜!K39</f>
        <v>760</v>
      </c>
      <c r="M17" s="62" t="n">
        <f aca="false">予算原本_白鳥惣菜!L39</f>
        <v>760</v>
      </c>
      <c r="N17" s="62" t="n">
        <f aca="false">予算原本_白鳥惣菜!M39</f>
        <v>760</v>
      </c>
      <c r="O17" s="63" t="n">
        <f aca="false">SUM(C17:N17)</f>
        <v>14570</v>
      </c>
      <c r="P17" s="63" t="n">
        <f aca="false">SUM(I17:N17)</f>
        <v>4110</v>
      </c>
    </row>
    <row r="18" customFormat="false" ht="15" hidden="false" customHeight="false" outlineLevel="0" collapsed="false">
      <c r="B18" s="5" t="s">
        <v>316</v>
      </c>
      <c r="C18" s="62" t="n">
        <f aca="false">予算原本_白鳥惣菜!B55</f>
        <v>9850.1867</v>
      </c>
      <c r="D18" s="62" t="n">
        <f aca="false">予算原本_白鳥惣菜!C55</f>
        <v>9916.8533</v>
      </c>
      <c r="E18" s="62" t="n">
        <f aca="false">予算原本_白鳥惣菜!D55</f>
        <v>11149.895</v>
      </c>
      <c r="F18" s="62" t="n">
        <f aca="false">予算原本_白鳥惣菜!E55</f>
        <v>11393.2283</v>
      </c>
      <c r="G18" s="62" t="n">
        <f aca="false">予算原本_白鳥惣菜!F55</f>
        <v>12143.2283</v>
      </c>
      <c r="H18" s="62" t="n">
        <f aca="false">予算原本_白鳥惣菜!G55</f>
        <v>12226.5617</v>
      </c>
      <c r="I18" s="62" t="n">
        <f aca="false">予算原本_白鳥惣菜!H55</f>
        <v>12226.5617</v>
      </c>
      <c r="J18" s="62" t="n">
        <f aca="false">予算原本_白鳥惣菜!I55</f>
        <v>12476.5617</v>
      </c>
      <c r="K18" s="62" t="n">
        <f aca="false">予算原本_白鳥惣菜!J55</f>
        <v>12476.5617</v>
      </c>
      <c r="L18" s="62" t="n">
        <f aca="false">予算原本_白鳥惣菜!K55</f>
        <v>12476.5617</v>
      </c>
      <c r="M18" s="62" t="n">
        <f aca="false">予算原本_白鳥惣菜!L55</f>
        <v>12476.5617</v>
      </c>
      <c r="N18" s="62" t="n">
        <f aca="false">予算原本_白鳥惣菜!M55</f>
        <v>12476.5617</v>
      </c>
      <c r="O18" s="63" t="n">
        <f aca="false">SUM(C18:N18)</f>
        <v>141289.3235</v>
      </c>
      <c r="P18" s="63" t="n">
        <f aca="false">SUM(I18:N18)</f>
        <v>74609.3702</v>
      </c>
    </row>
    <row r="19" customFormat="false" ht="15" hidden="false" customHeight="false" outlineLevel="0" collapsed="false">
      <c r="B19" s="10" t="s">
        <v>271</v>
      </c>
      <c r="C19" s="62" t="n">
        <f aca="false">予算原本_白鳥惣菜!B58</f>
        <v>219177.7467</v>
      </c>
      <c r="D19" s="62" t="n">
        <f aca="false">予算原本_白鳥惣菜!C58</f>
        <v>226585.3764</v>
      </c>
      <c r="E19" s="62" t="n">
        <f aca="false">予算原本_白鳥惣菜!D58</f>
        <v>215497.815</v>
      </c>
      <c r="F19" s="62" t="n">
        <f aca="false">予算原本_白鳥惣菜!E58</f>
        <v>218565.5078</v>
      </c>
      <c r="G19" s="62" t="n">
        <f aca="false">予算原本_白鳥惣菜!F58</f>
        <v>208982.0724</v>
      </c>
      <c r="H19" s="62" t="n">
        <f aca="false">予算原本_白鳥惣菜!G58</f>
        <v>232441.4789</v>
      </c>
      <c r="I19" s="62" t="n">
        <f aca="false">予算原本_白鳥惣菜!H58</f>
        <v>221115.7591</v>
      </c>
      <c r="J19" s="62" t="n">
        <f aca="false">予算原本_白鳥惣菜!I58</f>
        <v>209676.8817</v>
      </c>
      <c r="K19" s="62" t="n">
        <f aca="false">予算原本_白鳥惣菜!J58</f>
        <v>231054.4617</v>
      </c>
      <c r="L19" s="62" t="n">
        <f aca="false">予算原本_白鳥惣菜!K58</f>
        <v>221039.5617</v>
      </c>
      <c r="M19" s="62" t="n">
        <f aca="false">予算原本_白鳥惣菜!L58</f>
        <v>225189.5617</v>
      </c>
      <c r="N19" s="62" t="n">
        <f aca="false">予算原本_白鳥惣菜!M58</f>
        <v>222969.5617</v>
      </c>
      <c r="O19" s="63" t="n">
        <f aca="false">SUM(C19:N19)</f>
        <v>2652295.7848</v>
      </c>
      <c r="P19" s="63" t="n">
        <f aca="false">SUM(I19:N19)</f>
        <v>1331045.7876</v>
      </c>
    </row>
    <row r="20" customFormat="false" ht="15" hidden="false" customHeight="false" outlineLevel="0" collapsed="false">
      <c r="B20" s="5" t="s">
        <v>317</v>
      </c>
      <c r="C20" s="62" t="n">
        <f aca="false">予算原本_白鳥惣菜!B60</f>
        <v>4992.25329999998</v>
      </c>
      <c r="D20" s="62" t="n">
        <f aca="false">予算原本_白鳥惣菜!C60</f>
        <v>11406.0076</v>
      </c>
      <c r="E20" s="62" t="n">
        <f aca="false">予算原本_白鳥惣菜!D60</f>
        <v>-2807.815</v>
      </c>
      <c r="F20" s="62" t="n">
        <f aca="false">予算原本_白鳥惣菜!E60</f>
        <v>1098.96319999997</v>
      </c>
      <c r="G20" s="62" t="n">
        <f aca="false">予算原本_白鳥惣菜!F60</f>
        <v>4249.44759999999</v>
      </c>
      <c r="H20" s="62" t="n">
        <f aca="false">予算原本_白鳥惣菜!G60</f>
        <v>8054.27110000001</v>
      </c>
      <c r="I20" s="62" t="n">
        <f aca="false">予算原本_白鳥惣菜!H60</f>
        <v>-2319.89610000001</v>
      </c>
      <c r="J20" s="62" t="n">
        <f aca="false">予算原本_白鳥惣菜!I60</f>
        <v>-2565.48170000003</v>
      </c>
      <c r="K20" s="62" t="n">
        <f aca="false">予算原本_白鳥惣菜!J60</f>
        <v>3454.53829999999</v>
      </c>
      <c r="L20" s="62" t="n">
        <f aca="false">予算原本_白鳥惣菜!K60</f>
        <v>3740.43829999998</v>
      </c>
      <c r="M20" s="62" t="n">
        <f aca="false">予算原本_白鳥惣菜!L60</f>
        <v>2410.43829999998</v>
      </c>
      <c r="N20" s="62" t="n">
        <f aca="false">予算原本_白鳥惣菜!M60</f>
        <v>-3722.29310000001</v>
      </c>
      <c r="O20" s="63" t="n">
        <f aca="false">SUM(C20:N20)</f>
        <v>27990.8717999998</v>
      </c>
      <c r="P20" s="63" t="n">
        <f aca="false">SUM(I20:N20)</f>
        <v>997.74399999989</v>
      </c>
    </row>
    <row r="21" customFormat="false" ht="15" hidden="false" customHeight="false" outlineLevel="0" collapsed="false">
      <c r="B21" s="76" t="s">
        <v>279</v>
      </c>
      <c r="C21" s="77" t="n">
        <f aca="false">予算原本_白鳥惣菜!B66</f>
        <v>4992.25329999998</v>
      </c>
      <c r="D21" s="77" t="n">
        <f aca="false">予算原本_白鳥惣菜!C66</f>
        <v>11406.0076</v>
      </c>
      <c r="E21" s="77" t="n">
        <f aca="false">予算原本_白鳥惣菜!D66</f>
        <v>-2807.815</v>
      </c>
      <c r="F21" s="77" t="n">
        <f aca="false">予算原本_白鳥惣菜!E66</f>
        <v>1098.96319999997</v>
      </c>
      <c r="G21" s="77" t="n">
        <f aca="false">予算原本_白鳥惣菜!F66</f>
        <v>4249.44759999999</v>
      </c>
      <c r="H21" s="77" t="n">
        <f aca="false">予算原本_白鳥惣菜!G66</f>
        <v>8054.27110000001</v>
      </c>
      <c r="I21" s="77" t="n">
        <f aca="false">予算原本_白鳥惣菜!H66</f>
        <v>-2319.89610000001</v>
      </c>
      <c r="J21" s="77" t="n">
        <f aca="false">予算原本_白鳥惣菜!I66</f>
        <v>-2565.48170000003</v>
      </c>
      <c r="K21" s="77" t="n">
        <f aca="false">予算原本_白鳥惣菜!J66</f>
        <v>3454.53829999999</v>
      </c>
      <c r="L21" s="77" t="n">
        <f aca="false">予算原本_白鳥惣菜!K66</f>
        <v>3740.43829999998</v>
      </c>
      <c r="M21" s="77" t="n">
        <f aca="false">予算原本_白鳥惣菜!L66</f>
        <v>2410.43829999998</v>
      </c>
      <c r="N21" s="77" t="n">
        <f aca="false">予算原本_白鳥惣菜!M66</f>
        <v>-3722.29310000001</v>
      </c>
      <c r="O21" s="78" t="n">
        <f aca="false">SUM(C21:N21)</f>
        <v>27990.8717999998</v>
      </c>
      <c r="P21" s="78" t="n">
        <f aca="false">SUM(I21:N21)</f>
        <v>997.74399999989</v>
      </c>
    </row>
    <row r="23" customFormat="false" ht="15" hidden="false" customHeight="false" outlineLevel="0" collapsed="false">
      <c r="B23" s="3" t="s">
        <v>318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false" outlineLevel="0" collapsed="false">
      <c r="B24" s="34" t="s">
        <v>319</v>
      </c>
      <c r="C24" s="79" t="n">
        <f aca="false">SUMIFS(投資回収_月次!$D$8:$D$127,投資回収_月次!$B$8:$B$127,C$5)</f>
        <v>0</v>
      </c>
      <c r="D24" s="79" t="n">
        <f aca="false">SUMIFS(投資回収_月次!$D$8:$D$127,投資回収_月次!$B$8:$B$127,D$5)</f>
        <v>0</v>
      </c>
      <c r="E24" s="79" t="n">
        <f aca="false">SUMIFS(投資回収_月次!$D$8:$D$127,投資回収_月次!$B$8:$B$127,E$5)</f>
        <v>0</v>
      </c>
      <c r="F24" s="79" t="n">
        <f aca="false">SUMIFS(投資回収_月次!$D$8:$D$127,投資回収_月次!$B$8:$B$127,F$5)</f>
        <v>0</v>
      </c>
      <c r="G24" s="79" t="n">
        <f aca="false">SUMIFS(投資回収_月次!$D$8:$D$127,投資回収_月次!$B$8:$B$127,G$5)</f>
        <v>0</v>
      </c>
      <c r="H24" s="79" t="n">
        <f aca="false">SUMIFS(投資回収_月次!$D$8:$D$127,投資回収_月次!$B$8:$B$127,H$5)</f>
        <v>0</v>
      </c>
      <c r="I24" s="79" t="n">
        <f aca="false">SUMIFS(投資回収_月次!$D$8:$D$127,投資回収_月次!$B$8:$B$127,I$5)</f>
        <v>0</v>
      </c>
      <c r="J24" s="79" t="n">
        <f aca="false">SUMIFS(投資回収_月次!$D$8:$D$127,投資回収_月次!$B$8:$B$127,J$5)</f>
        <v>28</v>
      </c>
      <c r="K24" s="79" t="n">
        <f aca="false">SUMIFS(投資回収_月次!$D$8:$D$127,投資回収_月次!$B$8:$B$127,K$5)</f>
        <v>31</v>
      </c>
      <c r="L24" s="79" t="n">
        <f aca="false">SUMIFS(投資回収_月次!$D$8:$D$127,投資回収_月次!$B$8:$B$127,L$5)</f>
        <v>30</v>
      </c>
      <c r="M24" s="79" t="n">
        <f aca="false">SUMIFS(投資回収_月次!$D$8:$D$127,投資回収_月次!$B$8:$B$127,M$5)</f>
        <v>31</v>
      </c>
      <c r="N24" s="79" t="n">
        <f aca="false">SUMIFS(投資回収_月次!$D$8:$D$127,投資回収_月次!$B$8:$B$127,N$5)</f>
        <v>30</v>
      </c>
      <c r="O24" s="57" t="n">
        <f aca="false">SUM(C24:N24)</f>
        <v>150</v>
      </c>
      <c r="P24" s="57" t="n">
        <f aca="false">SUM(I24:N24)</f>
        <v>150</v>
      </c>
    </row>
    <row r="25" customFormat="false" ht="15" hidden="false" customHeight="false" outlineLevel="0" collapsed="false">
      <c r="B25" s="5" t="s">
        <v>320</v>
      </c>
      <c r="C25" s="62" t="n">
        <f aca="false">-SUMIFS(投資回収_月次!$F$8:$F$127,投資回収_月次!$B$8:$B$127,C$5)/1000</f>
        <v>-0</v>
      </c>
      <c r="D25" s="62" t="n">
        <f aca="false">-SUMIFS(投資回収_月次!$F$8:$F$127,投資回収_月次!$B$8:$B$127,D$5)/1000</f>
        <v>-0</v>
      </c>
      <c r="E25" s="62" t="n">
        <f aca="false">-SUMIFS(投資回収_月次!$F$8:$F$127,投資回収_月次!$B$8:$B$127,E$5)/1000</f>
        <v>-0</v>
      </c>
      <c r="F25" s="62" t="n">
        <f aca="false">-SUMIFS(投資回収_月次!$F$8:$F$127,投資回収_月次!$B$8:$B$127,F$5)/1000</f>
        <v>-0</v>
      </c>
      <c r="G25" s="62" t="n">
        <f aca="false">-SUMIFS(投資回収_月次!$F$8:$F$127,投資回収_月次!$B$8:$B$127,G$5)/1000</f>
        <v>-0</v>
      </c>
      <c r="H25" s="62" t="n">
        <f aca="false">-SUMIFS(投資回収_月次!$F$8:$F$127,投資回収_月次!$B$8:$B$127,H$5)/1000</f>
        <v>-0</v>
      </c>
      <c r="I25" s="62" t="n">
        <f aca="false">-SUMIFS(投資回収_月次!$F$8:$F$127,投資回収_月次!$B$8:$B$127,I$5)/1000</f>
        <v>-0</v>
      </c>
      <c r="J25" s="62" t="n">
        <f aca="false">-SUMIFS(投資回収_月次!$F$8:$F$127,投資回収_月次!$B$8:$B$127,J$5)/1000</f>
        <v>-234.5</v>
      </c>
      <c r="K25" s="62" t="n">
        <f aca="false">-SUMIFS(投資回収_月次!$F$8:$F$127,投資回収_月次!$B$8:$B$127,K$5)/1000</f>
        <v>-259.625</v>
      </c>
      <c r="L25" s="62" t="n">
        <f aca="false">-SUMIFS(投資回収_月次!$F$8:$F$127,投資回収_月次!$B$8:$B$127,L$5)/1000</f>
        <v>-251.25</v>
      </c>
      <c r="M25" s="62" t="n">
        <f aca="false">-SUMIFS(投資回収_月次!$F$8:$F$127,投資回収_月次!$B$8:$B$127,M$5)/1000</f>
        <v>-259.625</v>
      </c>
      <c r="N25" s="62" t="n">
        <f aca="false">-SUMIFS(投資回収_月次!$F$8:$F$127,投資回収_月次!$B$8:$B$127,N$5)/1000</f>
        <v>-251.25</v>
      </c>
      <c r="O25" s="63" t="n">
        <f aca="false">SUM(C25:N25)</f>
        <v>-1256.25</v>
      </c>
      <c r="P25" s="63" t="n">
        <f aca="false">SUM(I25:N25)</f>
        <v>-1256.25</v>
      </c>
      <c r="Q25" s="12" t="s">
        <v>321</v>
      </c>
    </row>
    <row r="26" customFormat="false" ht="15" hidden="false" customHeight="false" outlineLevel="0" collapsed="false">
      <c r="B26" s="5" t="s">
        <v>322</v>
      </c>
      <c r="C26" s="62" t="n">
        <f aca="false">-SUMIFS(投資回収_月次!$G$8:$G$127,投資回収_月次!$B$8:$B$127,C$5)/1000</f>
        <v>-0</v>
      </c>
      <c r="D26" s="62" t="n">
        <f aca="false">-SUMIFS(投資回収_月次!$G$8:$G$127,投資回収_月次!$B$8:$B$127,D$5)/1000</f>
        <v>-0</v>
      </c>
      <c r="E26" s="62" t="n">
        <f aca="false">-SUMIFS(投資回収_月次!$G$8:$G$127,投資回収_月次!$B$8:$B$127,E$5)/1000</f>
        <v>-0</v>
      </c>
      <c r="F26" s="62" t="n">
        <f aca="false">-SUMIFS(投資回収_月次!$G$8:$G$127,投資回収_月次!$B$8:$B$127,F$5)/1000</f>
        <v>-0</v>
      </c>
      <c r="G26" s="62" t="n">
        <f aca="false">-SUMIFS(投資回収_月次!$G$8:$G$127,投資回収_月次!$B$8:$B$127,G$5)/1000</f>
        <v>-0</v>
      </c>
      <c r="H26" s="62" t="n">
        <f aca="false">-SUMIFS(投資回収_月次!$G$8:$G$127,投資回収_月次!$B$8:$B$127,H$5)/1000</f>
        <v>-0</v>
      </c>
      <c r="I26" s="62" t="n">
        <f aca="false">-SUMIFS(投資回収_月次!$G$8:$G$127,投資回収_月次!$B$8:$B$127,I$5)/1000</f>
        <v>-0</v>
      </c>
      <c r="J26" s="62" t="n">
        <f aca="false">-SUMIFS(投資回収_月次!$G$8:$G$127,投資回収_月次!$B$8:$B$127,J$5)/1000</f>
        <v>-2.688</v>
      </c>
      <c r="K26" s="62" t="n">
        <f aca="false">-SUMIFS(投資回収_月次!$G$8:$G$127,投資回収_月次!$B$8:$B$127,K$5)/1000</f>
        <v>-2.976</v>
      </c>
      <c r="L26" s="62" t="n">
        <f aca="false">-SUMIFS(投資回収_月次!$G$8:$G$127,投資回収_月次!$B$8:$B$127,L$5)/1000</f>
        <v>-2.88</v>
      </c>
      <c r="M26" s="62" t="n">
        <f aca="false">-SUMIFS(投資回収_月次!$G$8:$G$127,投資回収_月次!$B$8:$B$127,M$5)/1000</f>
        <v>-2.976</v>
      </c>
      <c r="N26" s="62" t="n">
        <f aca="false">-SUMIFS(投資回収_月次!$G$8:$G$127,投資回収_月次!$B$8:$B$127,N$5)/1000</f>
        <v>-2.88</v>
      </c>
      <c r="O26" s="63" t="n">
        <f aca="false">SUM(C26:N26)</f>
        <v>-14.4</v>
      </c>
      <c r="P26" s="63" t="n">
        <f aca="false">SUM(I26:N26)</f>
        <v>-14.4</v>
      </c>
      <c r="Q26" s="12" t="s">
        <v>323</v>
      </c>
    </row>
    <row r="27" customFormat="false" ht="15" hidden="false" customHeight="false" outlineLevel="0" collapsed="false">
      <c r="B27" s="5" t="s">
        <v>324</v>
      </c>
      <c r="C27" s="62" t="n">
        <f aca="false">SUMIFS(投資回収_月次!$H$8:$H$127,投資回収_月次!$B$8:$B$127,C$5)/1000</f>
        <v>0</v>
      </c>
      <c r="D27" s="62" t="n">
        <f aca="false">SUMIFS(投資回収_月次!$H$8:$H$127,投資回収_月次!$B$8:$B$127,D$5)/1000</f>
        <v>0</v>
      </c>
      <c r="E27" s="62" t="n">
        <f aca="false">SUMIFS(投資回収_月次!$H$8:$H$127,投資回収_月次!$B$8:$B$127,E$5)/1000</f>
        <v>0</v>
      </c>
      <c r="F27" s="62" t="n">
        <f aca="false">SUMIFS(投資回収_月次!$H$8:$H$127,投資回収_月次!$B$8:$B$127,F$5)/1000</f>
        <v>0</v>
      </c>
      <c r="G27" s="62" t="n">
        <f aca="false">SUMIFS(投資回収_月次!$H$8:$H$127,投資回収_月次!$B$8:$B$127,G$5)/1000</f>
        <v>0</v>
      </c>
      <c r="H27" s="62" t="n">
        <f aca="false">SUMIFS(投資回収_月次!$H$8:$H$127,投資回収_月次!$B$8:$B$127,H$5)/1000</f>
        <v>0</v>
      </c>
      <c r="I27" s="62" t="n">
        <f aca="false">SUMIFS(投資回収_月次!$H$8:$H$127,投資回収_月次!$B$8:$B$127,I$5)/1000</f>
        <v>0</v>
      </c>
      <c r="J27" s="62" t="n">
        <f aca="false">SUMIFS(投資回収_月次!$H$8:$H$127,投資回収_月次!$B$8:$B$127,J$5)/1000</f>
        <v>5.88</v>
      </c>
      <c r="K27" s="62" t="n">
        <f aca="false">SUMIFS(投資回収_月次!$H$8:$H$127,投資回収_月次!$B$8:$B$127,K$5)/1000</f>
        <v>6.51</v>
      </c>
      <c r="L27" s="62" t="n">
        <f aca="false">SUMIFS(投資回収_月次!$H$8:$H$127,投資回収_月次!$B$8:$B$127,L$5)/1000</f>
        <v>6.3</v>
      </c>
      <c r="M27" s="62" t="n">
        <f aca="false">SUMIFS(投資回収_月次!$H$8:$H$127,投資回収_月次!$B$8:$B$127,M$5)/1000</f>
        <v>6.51</v>
      </c>
      <c r="N27" s="62" t="n">
        <f aca="false">SUMIFS(投資回収_月次!$H$8:$H$127,投資回収_月次!$B$8:$B$127,N$5)/1000</f>
        <v>6.3</v>
      </c>
      <c r="O27" s="63" t="n">
        <f aca="false">SUM(C27:N27)</f>
        <v>31.5</v>
      </c>
      <c r="P27" s="63" t="n">
        <f aca="false">SUM(I27:N27)</f>
        <v>31.5</v>
      </c>
      <c r="Q27" s="22" t="s">
        <v>325</v>
      </c>
    </row>
    <row r="28" customFormat="false" ht="15" hidden="false" customHeight="false" outlineLevel="0" collapsed="false">
      <c r="B28" s="5" t="s">
        <v>326</v>
      </c>
      <c r="C28" s="62" t="n">
        <f aca="false">SUMIFS(投資回収_月次!$I$8:$I$127,投資回収_月次!$B$8:$B$127,C$5)/1000</f>
        <v>0</v>
      </c>
      <c r="D28" s="62" t="n">
        <f aca="false">SUMIFS(投資回収_月次!$I$8:$I$127,投資回収_月次!$B$8:$B$127,D$5)/1000</f>
        <v>0</v>
      </c>
      <c r="E28" s="62" t="n">
        <f aca="false">SUMIFS(投資回収_月次!$I$8:$I$127,投資回収_月次!$B$8:$B$127,E$5)/1000</f>
        <v>0</v>
      </c>
      <c r="F28" s="62" t="n">
        <f aca="false">SUMIFS(投資回収_月次!$I$8:$I$127,投資回収_月次!$B$8:$B$127,F$5)/1000</f>
        <v>0</v>
      </c>
      <c r="G28" s="62" t="n">
        <f aca="false">SUMIFS(投資回収_月次!$I$8:$I$127,投資回収_月次!$B$8:$B$127,G$5)/1000</f>
        <v>0</v>
      </c>
      <c r="H28" s="62" t="n">
        <f aca="false">SUMIFS(投資回収_月次!$I$8:$I$127,投資回収_月次!$B$8:$B$127,H$5)/1000</f>
        <v>0</v>
      </c>
      <c r="I28" s="62" t="n">
        <f aca="false">SUMIFS(投資回収_月次!$I$8:$I$127,投資回収_月次!$B$8:$B$127,I$5)/1000</f>
        <v>0</v>
      </c>
      <c r="J28" s="62" t="n">
        <f aca="false">SUMIFS(投資回収_月次!$I$8:$I$127,投資回収_月次!$B$8:$B$127,J$5)/1000</f>
        <v>7.5</v>
      </c>
      <c r="K28" s="62" t="n">
        <f aca="false">SUMIFS(投資回収_月次!$I$8:$I$127,投資回収_月次!$B$8:$B$127,K$5)/1000</f>
        <v>7.5</v>
      </c>
      <c r="L28" s="62" t="n">
        <f aca="false">SUMIFS(投資回収_月次!$I$8:$I$127,投資回収_月次!$B$8:$B$127,L$5)/1000</f>
        <v>7.5</v>
      </c>
      <c r="M28" s="62" t="n">
        <f aca="false">SUMIFS(投資回収_月次!$I$8:$I$127,投資回収_月次!$B$8:$B$127,M$5)/1000</f>
        <v>7.5</v>
      </c>
      <c r="N28" s="62" t="n">
        <f aca="false">SUMIFS(投資回収_月次!$I$8:$I$127,投資回収_月次!$B$8:$B$127,N$5)/1000</f>
        <v>7.5</v>
      </c>
      <c r="O28" s="63" t="n">
        <f aca="false">SUM(C28:N28)</f>
        <v>37.5</v>
      </c>
      <c r="P28" s="63" t="n">
        <f aca="false">SUM(I28:N28)</f>
        <v>37.5</v>
      </c>
      <c r="Q28" s="12" t="s">
        <v>327</v>
      </c>
    </row>
    <row r="29" customFormat="false" ht="15" hidden="false" customHeight="false" outlineLevel="0" collapsed="false">
      <c r="B29" s="10" t="s">
        <v>328</v>
      </c>
      <c r="C29" s="62" t="n">
        <f aca="false">SUMIFS(投資回収_月次!$M$8:$M$127,投資回収_月次!$B$8:$B$127,C$5)/1000</f>
        <v>0</v>
      </c>
      <c r="D29" s="62" t="n">
        <f aca="false">SUMIFS(投資回収_月次!$M$8:$M$127,投資回収_月次!$B$8:$B$127,D$5)/1000</f>
        <v>0</v>
      </c>
      <c r="E29" s="62" t="n">
        <f aca="false">SUMIFS(投資回収_月次!$M$8:$M$127,投資回収_月次!$B$8:$B$127,E$5)/1000</f>
        <v>0</v>
      </c>
      <c r="F29" s="62" t="n">
        <f aca="false">SUMIFS(投資回収_月次!$M$8:$M$127,投資回収_月次!$B$8:$B$127,F$5)/1000</f>
        <v>0</v>
      </c>
      <c r="G29" s="62" t="n">
        <f aca="false">SUMIFS(投資回収_月次!$M$8:$M$127,投資回収_月次!$B$8:$B$127,G$5)/1000</f>
        <v>0</v>
      </c>
      <c r="H29" s="62" t="n">
        <f aca="false">SUMIFS(投資回収_月次!$M$8:$M$127,投資回収_月次!$B$8:$B$127,H$5)/1000</f>
        <v>0</v>
      </c>
      <c r="I29" s="62" t="n">
        <f aca="false">SUMIFS(投資回収_月次!$M$8:$M$127,投資回収_月次!$B$8:$B$127,I$5)/1000</f>
        <v>0</v>
      </c>
      <c r="J29" s="62" t="n">
        <f aca="false">SUMIFS(投資回収_月次!$M$8:$M$127,投資回収_月次!$B$8:$B$127,J$5)/1000</f>
        <v>37.5</v>
      </c>
      <c r="K29" s="62" t="n">
        <f aca="false">SUMIFS(投資回収_月次!$M$8:$M$127,投資回収_月次!$B$8:$B$127,K$5)/1000</f>
        <v>37.5</v>
      </c>
      <c r="L29" s="62" t="n">
        <f aca="false">SUMIFS(投資回収_月次!$M$8:$M$127,投資回収_月次!$B$8:$B$127,L$5)/1000</f>
        <v>37.5</v>
      </c>
      <c r="M29" s="62" t="n">
        <f aca="false">SUMIFS(投資回収_月次!$M$8:$M$127,投資回収_月次!$B$8:$B$127,M$5)/1000</f>
        <v>37.5</v>
      </c>
      <c r="N29" s="62" t="n">
        <f aca="false">SUMIFS(投資回収_月次!$M$8:$M$127,投資回収_月次!$B$8:$B$127,N$5)/1000</f>
        <v>37.5</v>
      </c>
      <c r="O29" s="63" t="n">
        <f aca="false">SUM(C29:N29)</f>
        <v>187.5</v>
      </c>
      <c r="P29" s="63" t="n">
        <f aca="false">SUM(I29:N29)</f>
        <v>187.5</v>
      </c>
      <c r="Q29" s="22" t="s">
        <v>329</v>
      </c>
    </row>
    <row r="30" customFormat="false" ht="15" hidden="false" customHeight="false" outlineLevel="0" collapsed="false">
      <c r="B30" s="10" t="s">
        <v>330</v>
      </c>
      <c r="C30" s="80" t="n">
        <f aca="false">SUM(C25:C29)</f>
        <v>0</v>
      </c>
      <c r="D30" s="80" t="n">
        <f aca="false">SUM(D25:D29)</f>
        <v>0</v>
      </c>
      <c r="E30" s="80" t="n">
        <f aca="false">SUM(E25:E29)</f>
        <v>0</v>
      </c>
      <c r="F30" s="80" t="n">
        <f aca="false">SUM(F25:F29)</f>
        <v>0</v>
      </c>
      <c r="G30" s="80" t="n">
        <f aca="false">SUM(G25:G29)</f>
        <v>0</v>
      </c>
      <c r="H30" s="80" t="n">
        <f aca="false">SUM(H25:H29)</f>
        <v>0</v>
      </c>
      <c r="I30" s="80" t="n">
        <f aca="false">SUM(I25:I29)</f>
        <v>0</v>
      </c>
      <c r="J30" s="80" t="n">
        <f aca="false">SUM(J25:J29)</f>
        <v>-186.308</v>
      </c>
      <c r="K30" s="80" t="n">
        <f aca="false">SUM(K25:K29)</f>
        <v>-211.091</v>
      </c>
      <c r="L30" s="80" t="n">
        <f aca="false">SUM(L25:L29)</f>
        <v>-202.83</v>
      </c>
      <c r="M30" s="80" t="n">
        <f aca="false">SUM(M25:M29)</f>
        <v>-211.091</v>
      </c>
      <c r="N30" s="80" t="n">
        <f aca="false">SUM(N25:N29)</f>
        <v>-202.83</v>
      </c>
      <c r="O30" s="80" t="n">
        <f aca="false">SUM(O25:O29)</f>
        <v>-1014.15</v>
      </c>
      <c r="P30" s="80" t="n">
        <f aca="false">SUM(P25:P29)</f>
        <v>-1014.15</v>
      </c>
    </row>
    <row r="31" customFormat="false" ht="15" hidden="false" customHeight="false" outlineLevel="0" collapsed="false">
      <c r="B31" s="81" t="s">
        <v>331</v>
      </c>
      <c r="C31" s="82" t="n">
        <f aca="false">-C30</f>
        <v>-0</v>
      </c>
      <c r="D31" s="82" t="n">
        <f aca="false">-D30</f>
        <v>-0</v>
      </c>
      <c r="E31" s="82" t="n">
        <f aca="false">-E30</f>
        <v>-0</v>
      </c>
      <c r="F31" s="82" t="n">
        <f aca="false">-F30</f>
        <v>-0</v>
      </c>
      <c r="G31" s="82" t="n">
        <f aca="false">-G30</f>
        <v>-0</v>
      </c>
      <c r="H31" s="82" t="n">
        <f aca="false">-H30</f>
        <v>-0</v>
      </c>
      <c r="I31" s="82" t="n">
        <f aca="false">-I30</f>
        <v>-0</v>
      </c>
      <c r="J31" s="82" t="n">
        <f aca="false">-J30</f>
        <v>186.308</v>
      </c>
      <c r="K31" s="82" t="n">
        <f aca="false">-K30</f>
        <v>211.091</v>
      </c>
      <c r="L31" s="82" t="n">
        <f aca="false">-L30</f>
        <v>202.83</v>
      </c>
      <c r="M31" s="82" t="n">
        <f aca="false">-M30</f>
        <v>211.091</v>
      </c>
      <c r="N31" s="82" t="n">
        <f aca="false">-N30</f>
        <v>202.83</v>
      </c>
      <c r="O31" s="82" t="n">
        <f aca="false">-O30</f>
        <v>1014.15</v>
      </c>
      <c r="P31" s="82" t="n">
        <f aca="false">-P30</f>
        <v>1014.15</v>
      </c>
    </row>
    <row r="32" customFormat="false" ht="15" hidden="false" customHeight="false" outlineLevel="0" collapsed="false">
      <c r="B32" s="34" t="s">
        <v>332</v>
      </c>
      <c r="C32" s="83" t="n">
        <f aca="false">-SUM(C25:C28)</f>
        <v>-0</v>
      </c>
      <c r="D32" s="83" t="n">
        <f aca="false">-SUM(D25:D28)</f>
        <v>-0</v>
      </c>
      <c r="E32" s="83" t="n">
        <f aca="false">-SUM(E25:E28)</f>
        <v>-0</v>
      </c>
      <c r="F32" s="83" t="n">
        <f aca="false">-SUM(F25:F28)</f>
        <v>-0</v>
      </c>
      <c r="G32" s="83" t="n">
        <f aca="false">-SUM(G25:G28)</f>
        <v>-0</v>
      </c>
      <c r="H32" s="83" t="n">
        <f aca="false">-SUM(H25:H28)</f>
        <v>-0</v>
      </c>
      <c r="I32" s="83" t="n">
        <f aca="false">-SUM(I25:I28)</f>
        <v>-0</v>
      </c>
      <c r="J32" s="83" t="n">
        <f aca="false">-SUM(J25:J28)</f>
        <v>223.808</v>
      </c>
      <c r="K32" s="83" t="n">
        <f aca="false">-SUM(K25:K28)</f>
        <v>248.591</v>
      </c>
      <c r="L32" s="83" t="n">
        <f aca="false">-SUM(L25:L28)</f>
        <v>240.33</v>
      </c>
      <c r="M32" s="83" t="n">
        <f aca="false">-SUM(M25:M28)</f>
        <v>248.591</v>
      </c>
      <c r="N32" s="83" t="n">
        <f aca="false">-SUM(N25:N28)</f>
        <v>240.33</v>
      </c>
      <c r="O32" s="83" t="n">
        <f aca="false">-SUM(O25:O28)</f>
        <v>1201.65</v>
      </c>
      <c r="P32" s="83" t="n">
        <f aca="false">-SUM(P25:P28)</f>
        <v>1201.65</v>
      </c>
    </row>
    <row r="33" customFormat="false" ht="15" hidden="false" customHeight="false" outlineLevel="0" collapsed="false">
      <c r="B33" s="34" t="s">
        <v>333</v>
      </c>
      <c r="C33" s="84" t="str">
        <f aca="false">IF(C29=0,"-",C32/C29)</f>
        <v>-</v>
      </c>
      <c r="D33" s="84" t="str">
        <f aca="false">IF(D29=0,"-",D32/D29)</f>
        <v>-</v>
      </c>
      <c r="E33" s="84" t="str">
        <f aca="false">IF(E29=0,"-",E32/E29)</f>
        <v>-</v>
      </c>
      <c r="F33" s="84" t="str">
        <f aca="false">IF(F29=0,"-",F32/F29)</f>
        <v>-</v>
      </c>
      <c r="G33" s="84" t="str">
        <f aca="false">IF(G29=0,"-",G32/G29)</f>
        <v>-</v>
      </c>
      <c r="H33" s="84" t="str">
        <f aca="false">IF(H29=0,"-",H32/H29)</f>
        <v>-</v>
      </c>
      <c r="I33" s="84" t="str">
        <f aca="false">IF(I29=0,"-",I32/I29)</f>
        <v>-</v>
      </c>
      <c r="J33" s="84" t="n">
        <f aca="false">IF(J29=0,"-",J32/J29)</f>
        <v>5.96821333333333</v>
      </c>
      <c r="K33" s="84" t="n">
        <f aca="false">IF(K29=0,"-",K32/K29)</f>
        <v>6.62909333333333</v>
      </c>
      <c r="L33" s="84" t="n">
        <f aca="false">IF(L29=0,"-",L32/L29)</f>
        <v>6.4088</v>
      </c>
      <c r="M33" s="84" t="n">
        <f aca="false">IF(M29=0,"-",M32/M29)</f>
        <v>6.62909333333333</v>
      </c>
      <c r="N33" s="84" t="n">
        <f aca="false">IF(N29=0,"-",N32/N29)</f>
        <v>6.4088</v>
      </c>
      <c r="O33" s="84" t="n">
        <f aca="false">IF(O29=0,"-",O32/O29)</f>
        <v>6.4088</v>
      </c>
      <c r="P33" s="84" t="n">
        <f aca="false">IF(P29=0,"-",P32/P29)</f>
        <v>6.4088</v>
      </c>
      <c r="Q33" s="12" t="s">
        <v>334</v>
      </c>
    </row>
    <row r="35" customFormat="false" ht="15" hidden="false" customHeight="false" outlineLevel="0" collapsed="false">
      <c r="B35" s="3" t="s">
        <v>335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customFormat="false" ht="15" hidden="false" customHeight="false" outlineLevel="0" collapsed="false">
      <c r="B36" s="5" t="s">
        <v>309</v>
      </c>
      <c r="C36" s="63" t="n">
        <f aca="false">C8</f>
        <v>787800</v>
      </c>
      <c r="D36" s="63" t="n">
        <f aca="false">D8</f>
        <v>836803.384</v>
      </c>
      <c r="E36" s="63" t="n">
        <f aca="false">E8</f>
        <v>747600</v>
      </c>
      <c r="F36" s="63" t="n">
        <f aca="false">F8</f>
        <v>772524.471</v>
      </c>
      <c r="G36" s="63" t="n">
        <f aca="false">G8</f>
        <v>750295.52</v>
      </c>
      <c r="H36" s="63" t="n">
        <f aca="false">H8</f>
        <v>847205.75</v>
      </c>
      <c r="I36" s="63" t="n">
        <f aca="false">I8</f>
        <v>770219.863</v>
      </c>
      <c r="J36" s="63" t="n">
        <f aca="false">J8</f>
        <v>729600</v>
      </c>
      <c r="K36" s="63" t="n">
        <f aca="false">K8</f>
        <v>826500</v>
      </c>
      <c r="L36" s="63" t="n">
        <f aca="false">L8</f>
        <v>792000</v>
      </c>
      <c r="M36" s="63" t="n">
        <f aca="false">M8</f>
        <v>802000</v>
      </c>
      <c r="N36" s="63" t="n">
        <f aca="false">N8</f>
        <v>777000</v>
      </c>
      <c r="O36" s="63" t="n">
        <f aca="false">SUM(C36:N36)</f>
        <v>9439548.988</v>
      </c>
      <c r="P36" s="63" t="n">
        <f aca="false">SUM(I36:N36)</f>
        <v>4697319.863</v>
      </c>
    </row>
    <row r="37" customFormat="false" ht="15" hidden="false" customHeight="false" outlineLevel="0" collapsed="false">
      <c r="B37" s="5" t="s">
        <v>223</v>
      </c>
      <c r="C37" s="63" t="n">
        <f aca="false">C9</f>
        <v>224170</v>
      </c>
      <c r="D37" s="63" t="n">
        <f aca="false">D9</f>
        <v>237991.384</v>
      </c>
      <c r="E37" s="63" t="n">
        <f aca="false">E9</f>
        <v>212690</v>
      </c>
      <c r="F37" s="63" t="n">
        <f aca="false">F9</f>
        <v>219664.471</v>
      </c>
      <c r="G37" s="63" t="n">
        <f aca="false">G9</f>
        <v>213231.52</v>
      </c>
      <c r="H37" s="63" t="n">
        <f aca="false">H9</f>
        <v>240495.75</v>
      </c>
      <c r="I37" s="63" t="n">
        <f aca="false">I9</f>
        <v>218795.863</v>
      </c>
      <c r="J37" s="63" t="n">
        <f aca="false">J9</f>
        <v>207111.4</v>
      </c>
      <c r="K37" s="63" t="n">
        <f aca="false">K9</f>
        <v>234509</v>
      </c>
      <c r="L37" s="63" t="n">
        <f aca="false">L9</f>
        <v>224780</v>
      </c>
      <c r="M37" s="63" t="n">
        <f aca="false">M9</f>
        <v>227600</v>
      </c>
      <c r="N37" s="63" t="n">
        <f aca="false">N9</f>
        <v>219247.2686</v>
      </c>
      <c r="O37" s="63" t="n">
        <f aca="false">SUM(C37:N37)</f>
        <v>2680286.6566</v>
      </c>
      <c r="P37" s="63" t="n">
        <f aca="false">SUM(I37:N37)</f>
        <v>1332043.5316</v>
      </c>
    </row>
    <row r="38" customFormat="false" ht="15" hidden="false" customHeight="false" outlineLevel="0" collapsed="false">
      <c r="B38" s="5" t="s">
        <v>224</v>
      </c>
      <c r="C38" s="75" t="n">
        <f aca="false">IF(C36=0,0,C37/C36)</f>
        <v>0.284551916730135</v>
      </c>
      <c r="D38" s="75" t="n">
        <f aca="false">IF(D36=0,0,D37/D36)</f>
        <v>0.284405379507882</v>
      </c>
      <c r="E38" s="75" t="n">
        <f aca="false">IF(E36=0,0,E37/E36)</f>
        <v>0.284497057249866</v>
      </c>
      <c r="F38" s="75" t="n">
        <f aca="false">IF(F36=0,0,F37/F36)</f>
        <v>0.284346294837306</v>
      </c>
      <c r="G38" s="75" t="n">
        <f aca="false">IF(G36=0,0,G37/G36)</f>
        <v>0.284196712250128</v>
      </c>
      <c r="H38" s="75" t="n">
        <f aca="false">IF(H36=0,0,H37/H36)</f>
        <v>0.283869355230415</v>
      </c>
      <c r="I38" s="75" t="n">
        <f aca="false">IF(I36=0,0,I37/I36)</f>
        <v>0.284069359296697</v>
      </c>
      <c r="J38" s="75" t="n">
        <f aca="false">IF(J36=0,0,J37/J36)</f>
        <v>0.283869791666667</v>
      </c>
      <c r="K38" s="75" t="n">
        <f aca="false">IF(K36=0,0,K37/K36)</f>
        <v>0.283737447065941</v>
      </c>
      <c r="L38" s="75" t="n">
        <f aca="false">IF(L36=0,0,L37/L36)</f>
        <v>0.283813131313131</v>
      </c>
      <c r="M38" s="75" t="n">
        <f aca="false">IF(M36=0,0,M37/M36)</f>
        <v>0.283790523690773</v>
      </c>
      <c r="N38" s="75" t="n">
        <f aca="false">IF(N36=0,0,N37/N36)</f>
        <v>0.282171516859717</v>
      </c>
      <c r="O38" s="75" t="n">
        <f aca="false">IF(O36=0,0,O37/O36)</f>
        <v>0.283942237071634</v>
      </c>
      <c r="P38" s="75" t="n">
        <f aca="false">IF(P36=0,0,P37/P36)</f>
        <v>0.283575223840361</v>
      </c>
    </row>
    <row r="39" customFormat="false" ht="15" hidden="false" customHeight="false" outlineLevel="0" collapsed="false">
      <c r="B39" s="5" t="s">
        <v>310</v>
      </c>
      <c r="C39" s="63" t="n">
        <f aca="false">C11+C25</f>
        <v>137474</v>
      </c>
      <c r="D39" s="63" t="n">
        <f aca="false">D11+D25</f>
        <v>138653</v>
      </c>
      <c r="E39" s="63" t="n">
        <f aca="false">E11+E25</f>
        <v>141802</v>
      </c>
      <c r="F39" s="63" t="n">
        <f aca="false">F11+F25</f>
        <v>140499</v>
      </c>
      <c r="G39" s="63" t="n">
        <f aca="false">G11+G25</f>
        <v>133546</v>
      </c>
      <c r="H39" s="63" t="n">
        <f aca="false">H11+H25</f>
        <v>144822</v>
      </c>
      <c r="I39" s="63" t="n">
        <f aca="false">I11+I25</f>
        <v>144712</v>
      </c>
      <c r="J39" s="63" t="n">
        <f aca="false">J11+J25</f>
        <v>134766.5</v>
      </c>
      <c r="K39" s="63" t="n">
        <f aca="false">K11+K25</f>
        <v>143428.375</v>
      </c>
      <c r="L39" s="63" t="n">
        <f aca="false">L11+L25</f>
        <v>139094.75</v>
      </c>
      <c r="M39" s="63" t="n">
        <f aca="false">M11+M25</f>
        <v>144090.375</v>
      </c>
      <c r="N39" s="63" t="n">
        <f aca="false">N11+N25</f>
        <v>142356.75</v>
      </c>
      <c r="O39" s="63" t="n">
        <f aca="false">SUM(C39:N39)</f>
        <v>1685244.75</v>
      </c>
      <c r="P39" s="63" t="n">
        <f aca="false">SUM(I39:N39)</f>
        <v>848448.75</v>
      </c>
    </row>
    <row r="40" customFormat="false" ht="15" hidden="false" customHeight="false" outlineLevel="0" collapsed="false">
      <c r="B40" s="5" t="s">
        <v>311</v>
      </c>
      <c r="C40" s="63" t="n">
        <f aca="false">C12+C25</f>
        <v>18960</v>
      </c>
      <c r="D40" s="63" t="n">
        <f aca="false">D12+D25</f>
        <v>19440</v>
      </c>
      <c r="E40" s="63" t="n">
        <f aca="false">E12+E25</f>
        <v>18000</v>
      </c>
      <c r="F40" s="63" t="n">
        <f aca="false">F12+F25</f>
        <v>18120</v>
      </c>
      <c r="G40" s="63" t="n">
        <f aca="false">G12+G25</f>
        <v>18724</v>
      </c>
      <c r="H40" s="63" t="n">
        <f aca="false">H12+H25</f>
        <v>20336</v>
      </c>
      <c r="I40" s="63" t="n">
        <f aca="false">I12+I25</f>
        <v>18600</v>
      </c>
      <c r="J40" s="63" t="n">
        <f aca="false">J12+J25</f>
        <v>18215.5</v>
      </c>
      <c r="K40" s="63" t="n">
        <f aca="false">K12+K25</f>
        <v>19580.375</v>
      </c>
      <c r="L40" s="63" t="n">
        <f aca="false">L12+L25</f>
        <v>18348.75</v>
      </c>
      <c r="M40" s="63" t="n">
        <f aca="false">M12+M25</f>
        <v>19332.375</v>
      </c>
      <c r="N40" s="63" t="n">
        <f aca="false">N12+N25</f>
        <v>18472.75</v>
      </c>
      <c r="O40" s="63" t="n">
        <f aca="false">SUM(C40:N40)</f>
        <v>226129.75</v>
      </c>
      <c r="P40" s="63" t="n">
        <f aca="false">SUM(I40:N40)</f>
        <v>112549.75</v>
      </c>
    </row>
    <row r="41" customFormat="false" ht="15" hidden="false" customHeight="false" outlineLevel="0" collapsed="false">
      <c r="B41" s="5" t="s">
        <v>312</v>
      </c>
      <c r="C41" s="63" t="n">
        <f aca="false">C13</f>
        <v>2069.6</v>
      </c>
      <c r="D41" s="63" t="n">
        <f aca="false">D13</f>
        <v>2069.6</v>
      </c>
      <c r="E41" s="63" t="n">
        <f aca="false">E13</f>
        <v>2069.6</v>
      </c>
      <c r="F41" s="63" t="n">
        <f aca="false">F13</f>
        <v>2069.6</v>
      </c>
      <c r="G41" s="63" t="n">
        <f aca="false">G13</f>
        <v>2069.6</v>
      </c>
      <c r="H41" s="63" t="n">
        <f aca="false">H13</f>
        <v>2069.6</v>
      </c>
      <c r="I41" s="63" t="n">
        <f aca="false">I13</f>
        <v>2069.6</v>
      </c>
      <c r="J41" s="63" t="n">
        <f aca="false">J13</f>
        <v>2069.6</v>
      </c>
      <c r="K41" s="63" t="n">
        <f aca="false">K13</f>
        <v>2069.6</v>
      </c>
      <c r="L41" s="63" t="n">
        <f aca="false">L13</f>
        <v>2069.6</v>
      </c>
      <c r="M41" s="63" t="n">
        <f aca="false">M13</f>
        <v>2069.6</v>
      </c>
      <c r="N41" s="63" t="n">
        <f aca="false">N13</f>
        <v>2069.6</v>
      </c>
      <c r="O41" s="63" t="n">
        <f aca="false">SUM(C41:N41)</f>
        <v>24835.2</v>
      </c>
      <c r="P41" s="63" t="n">
        <f aca="false">SUM(I41:N41)</f>
        <v>12417.6</v>
      </c>
    </row>
    <row r="42" customFormat="false" ht="15" hidden="false" customHeight="false" outlineLevel="0" collapsed="false">
      <c r="B42" s="5" t="s">
        <v>250</v>
      </c>
      <c r="C42" s="63" t="n">
        <f aca="false">C14+C26+C27+C28+C29</f>
        <v>79634.1467</v>
      </c>
      <c r="D42" s="63" t="n">
        <f aca="false">D14+D26+D27+D28+D29</f>
        <v>85862.7764</v>
      </c>
      <c r="E42" s="63" t="n">
        <f aca="false">E14+E26+E27+E28+E29</f>
        <v>71626.215</v>
      </c>
      <c r="F42" s="63" t="n">
        <f aca="false">F14+F26+F27+F28+F29</f>
        <v>75996.9078</v>
      </c>
      <c r="G42" s="63" t="n">
        <f aca="false">G14+G26+G27+G28+G29</f>
        <v>73366.4724</v>
      </c>
      <c r="H42" s="63" t="n">
        <f aca="false">H14+H26+H27+H28+H29</f>
        <v>85549.8789</v>
      </c>
      <c r="I42" s="63" t="n">
        <f aca="false">I14+I26+I27+I28+I29</f>
        <v>74334.1591</v>
      </c>
      <c r="J42" s="63" t="n">
        <f aca="false">J14+J26+J27+J28+J29</f>
        <v>72654.4737</v>
      </c>
      <c r="K42" s="63" t="n">
        <f aca="false">K14+K26+K27+K28+K29</f>
        <v>85345.3957</v>
      </c>
      <c r="L42" s="63" t="n">
        <f aca="false">L14+L26+L27+L28+L29</f>
        <v>79672.3817</v>
      </c>
      <c r="M42" s="63" t="n">
        <f aca="false">M14+M26+M27+M28+M29</f>
        <v>78818.4957</v>
      </c>
      <c r="N42" s="63" t="n">
        <f aca="false">N14+N26+N27+N28+N29</f>
        <v>78340.3817</v>
      </c>
      <c r="O42" s="63" t="n">
        <f aca="false">SUM(C42:N42)</f>
        <v>941201.6848</v>
      </c>
      <c r="P42" s="63" t="n">
        <f aca="false">SUM(I42:N42)</f>
        <v>469165.2876</v>
      </c>
    </row>
    <row r="43" customFormat="false" ht="15" hidden="false" customHeight="false" outlineLevel="0" collapsed="false">
      <c r="B43" s="5" t="s">
        <v>313</v>
      </c>
      <c r="C43" s="63" t="n">
        <f aca="false">C15+C26</f>
        <v>7500</v>
      </c>
      <c r="D43" s="63" t="n">
        <f aca="false">D15+D26</f>
        <v>8000</v>
      </c>
      <c r="E43" s="63" t="n">
        <f aca="false">E15+E26</f>
        <v>1500</v>
      </c>
      <c r="F43" s="63" t="n">
        <f aca="false">F15+F26</f>
        <v>3650</v>
      </c>
      <c r="G43" s="63" t="n">
        <f aca="false">G15+G26</f>
        <v>1000</v>
      </c>
      <c r="H43" s="63" t="n">
        <f aca="false">H15+H26</f>
        <v>7500</v>
      </c>
      <c r="I43" s="63" t="n">
        <f aca="false">I15+I26</f>
        <v>1500</v>
      </c>
      <c r="J43" s="63" t="n">
        <f aca="false">J15+J26</f>
        <v>1997.312</v>
      </c>
      <c r="K43" s="63" t="n">
        <f aca="false">K15+K26</f>
        <v>8997.024</v>
      </c>
      <c r="L43" s="63" t="n">
        <f aca="false">L15+L26</f>
        <v>5747.12</v>
      </c>
      <c r="M43" s="63" t="n">
        <f aca="false">M15+M26</f>
        <v>4247.024</v>
      </c>
      <c r="N43" s="63" t="n">
        <f aca="false">N15+N26</f>
        <v>4247.12</v>
      </c>
      <c r="O43" s="63" t="n">
        <f aca="false">SUM(C43:N43)</f>
        <v>55885.6</v>
      </c>
      <c r="P43" s="63" t="n">
        <f aca="false">SUM(I43:N43)</f>
        <v>26735.6</v>
      </c>
    </row>
    <row r="44" customFormat="false" ht="15" hidden="false" customHeight="false" outlineLevel="0" collapsed="false">
      <c r="B44" s="5" t="s">
        <v>314</v>
      </c>
      <c r="C44" s="63" t="n">
        <f aca="false">C16+C27</f>
        <v>10933</v>
      </c>
      <c r="D44" s="63" t="n">
        <f aca="false">D16+D27</f>
        <v>11433</v>
      </c>
      <c r="E44" s="63" t="n">
        <f aca="false">E16+E27</f>
        <v>10933</v>
      </c>
      <c r="F44" s="63" t="n">
        <f aca="false">F16+F27</f>
        <v>10933</v>
      </c>
      <c r="G44" s="63" t="n">
        <f aca="false">G16+G27</f>
        <v>11433</v>
      </c>
      <c r="H44" s="63" t="n">
        <f aca="false">H16+H27</f>
        <v>11633</v>
      </c>
      <c r="I44" s="63" t="n">
        <f aca="false">I16+I27</f>
        <v>11433</v>
      </c>
      <c r="J44" s="63" t="n">
        <f aca="false">J16+J27</f>
        <v>10938.88</v>
      </c>
      <c r="K44" s="63" t="n">
        <f aca="false">K16+K27</f>
        <v>11439.51</v>
      </c>
      <c r="L44" s="63" t="n">
        <f aca="false">L16+L27</f>
        <v>10939.3</v>
      </c>
      <c r="M44" s="63" t="n">
        <f aca="false">M16+M27</f>
        <v>10939.51</v>
      </c>
      <c r="N44" s="63" t="n">
        <f aca="false">N16+N27</f>
        <v>10939.3</v>
      </c>
      <c r="O44" s="63" t="n">
        <f aca="false">SUM(C44:N44)</f>
        <v>133927.5</v>
      </c>
      <c r="P44" s="63" t="n">
        <f aca="false">SUM(I44:N44)</f>
        <v>66629.5</v>
      </c>
    </row>
    <row r="45" customFormat="false" ht="15" hidden="false" customHeight="false" outlineLevel="0" collapsed="false">
      <c r="B45" s="5" t="s">
        <v>315</v>
      </c>
      <c r="C45" s="63" t="n">
        <f aca="false">C17+C28</f>
        <v>2000</v>
      </c>
      <c r="D45" s="63" t="n">
        <f aca="false">D17+D28</f>
        <v>4800</v>
      </c>
      <c r="E45" s="63" t="n">
        <f aca="false">E17+E28</f>
        <v>600</v>
      </c>
      <c r="F45" s="63" t="n">
        <f aca="false">F17+F28</f>
        <v>1230</v>
      </c>
      <c r="G45" s="63" t="n">
        <f aca="false">G17+G28</f>
        <v>600</v>
      </c>
      <c r="H45" s="63" t="n">
        <f aca="false">H17+H28</f>
        <v>1230</v>
      </c>
      <c r="I45" s="63" t="n">
        <f aca="false">I17+I28</f>
        <v>370</v>
      </c>
      <c r="J45" s="63" t="n">
        <f aca="false">J17+J28</f>
        <v>507.5</v>
      </c>
      <c r="K45" s="63" t="n">
        <f aca="false">K17+K28</f>
        <v>967.5</v>
      </c>
      <c r="L45" s="63" t="n">
        <f aca="false">L17+L28</f>
        <v>767.5</v>
      </c>
      <c r="M45" s="63" t="n">
        <f aca="false">M17+M28</f>
        <v>767.5</v>
      </c>
      <c r="N45" s="63" t="n">
        <f aca="false">N17+N28</f>
        <v>767.5</v>
      </c>
      <c r="O45" s="63" t="n">
        <f aca="false">SUM(C45:N45)</f>
        <v>14607.5</v>
      </c>
      <c r="P45" s="63" t="n">
        <f aca="false">SUM(I45:N45)</f>
        <v>4147.5</v>
      </c>
    </row>
    <row r="46" customFormat="false" ht="15" hidden="false" customHeight="false" outlineLevel="0" collapsed="false">
      <c r="B46" s="5" t="s">
        <v>316</v>
      </c>
      <c r="C46" s="63" t="n">
        <f aca="false">C18+C29</f>
        <v>9850.1867</v>
      </c>
      <c r="D46" s="63" t="n">
        <f aca="false">D18+D29</f>
        <v>9916.8533</v>
      </c>
      <c r="E46" s="63" t="n">
        <f aca="false">E18+E29</f>
        <v>11149.895</v>
      </c>
      <c r="F46" s="63" t="n">
        <f aca="false">F18+F29</f>
        <v>11393.2283</v>
      </c>
      <c r="G46" s="63" t="n">
        <f aca="false">G18+G29</f>
        <v>12143.2283</v>
      </c>
      <c r="H46" s="63" t="n">
        <f aca="false">H18+H29</f>
        <v>12226.5617</v>
      </c>
      <c r="I46" s="63" t="n">
        <f aca="false">I18+I29</f>
        <v>12226.5617</v>
      </c>
      <c r="J46" s="63" t="n">
        <f aca="false">J18+J29</f>
        <v>12514.0617</v>
      </c>
      <c r="K46" s="63" t="n">
        <f aca="false">K18+K29</f>
        <v>12514.0617</v>
      </c>
      <c r="L46" s="63" t="n">
        <f aca="false">L18+L29</f>
        <v>12514.0617</v>
      </c>
      <c r="M46" s="63" t="n">
        <f aca="false">M18+M29</f>
        <v>12514.0617</v>
      </c>
      <c r="N46" s="63" t="n">
        <f aca="false">N18+N29</f>
        <v>12514.0617</v>
      </c>
      <c r="O46" s="63" t="n">
        <f aca="false">SUM(C46:N46)</f>
        <v>141476.8235</v>
      </c>
      <c r="P46" s="63" t="n">
        <f aca="false">SUM(I46:N46)</f>
        <v>74796.8702</v>
      </c>
    </row>
    <row r="47" customFormat="false" ht="15" hidden="false" customHeight="false" outlineLevel="0" collapsed="false">
      <c r="B47" s="10" t="s">
        <v>271</v>
      </c>
      <c r="C47" s="63" t="n">
        <f aca="false">C39+C41+C42</f>
        <v>219177.7467</v>
      </c>
      <c r="D47" s="63" t="n">
        <f aca="false">D39+D41+D42</f>
        <v>226585.3764</v>
      </c>
      <c r="E47" s="63" t="n">
        <f aca="false">E39+E41+E42</f>
        <v>215497.815</v>
      </c>
      <c r="F47" s="63" t="n">
        <f aca="false">F39+F41+F42</f>
        <v>218565.5078</v>
      </c>
      <c r="G47" s="63" t="n">
        <f aca="false">G39+G41+G42</f>
        <v>208982.0724</v>
      </c>
      <c r="H47" s="63" t="n">
        <f aca="false">H39+H41+H42</f>
        <v>232441.4789</v>
      </c>
      <c r="I47" s="63" t="n">
        <f aca="false">I39+I41+I42</f>
        <v>221115.7591</v>
      </c>
      <c r="J47" s="63" t="n">
        <f aca="false">J39+J41+J42</f>
        <v>209490.5737</v>
      </c>
      <c r="K47" s="63" t="n">
        <f aca="false">K39+K41+K42</f>
        <v>230843.3707</v>
      </c>
      <c r="L47" s="63" t="n">
        <f aca="false">L39+L41+L42</f>
        <v>220836.7317</v>
      </c>
      <c r="M47" s="63" t="n">
        <f aca="false">M39+M41+M42</f>
        <v>224978.4707</v>
      </c>
      <c r="N47" s="63" t="n">
        <f aca="false">N39+N41+N42</f>
        <v>222766.7317</v>
      </c>
      <c r="O47" s="63" t="n">
        <f aca="false">SUM(C47:N47)</f>
        <v>2651281.6348</v>
      </c>
      <c r="P47" s="63" t="n">
        <f aca="false">SUM(I47:N47)</f>
        <v>1330031.6376</v>
      </c>
    </row>
    <row r="48" customFormat="false" ht="15" hidden="false" customHeight="false" outlineLevel="0" collapsed="false">
      <c r="B48" s="5" t="s">
        <v>317</v>
      </c>
      <c r="C48" s="63" t="n">
        <f aca="false">C20+C31</f>
        <v>4992.25329999998</v>
      </c>
      <c r="D48" s="63" t="n">
        <f aca="false">D20+D31</f>
        <v>11406.0076</v>
      </c>
      <c r="E48" s="63" t="n">
        <f aca="false">E20+E31</f>
        <v>-2807.815</v>
      </c>
      <c r="F48" s="63" t="n">
        <f aca="false">F20+F31</f>
        <v>1098.96319999997</v>
      </c>
      <c r="G48" s="63" t="n">
        <f aca="false">G20+G31</f>
        <v>4249.44759999999</v>
      </c>
      <c r="H48" s="63" t="n">
        <f aca="false">H20+H31</f>
        <v>8054.27110000001</v>
      </c>
      <c r="I48" s="63" t="n">
        <f aca="false">I20+I31</f>
        <v>-2319.89610000001</v>
      </c>
      <c r="J48" s="63" t="n">
        <f aca="false">J20+J31</f>
        <v>-2379.17370000003</v>
      </c>
      <c r="K48" s="63" t="n">
        <f aca="false">K20+K31</f>
        <v>3665.62929999999</v>
      </c>
      <c r="L48" s="63" t="n">
        <f aca="false">L20+L31</f>
        <v>3943.26829999998</v>
      </c>
      <c r="M48" s="63" t="n">
        <f aca="false">M20+M31</f>
        <v>2621.52929999998</v>
      </c>
      <c r="N48" s="63" t="n">
        <f aca="false">N20+N31</f>
        <v>-3519.46310000001</v>
      </c>
      <c r="O48" s="63" t="n">
        <f aca="false">SUM(C48:N48)</f>
        <v>29005.0217999998</v>
      </c>
      <c r="P48" s="63" t="n">
        <f aca="false">SUM(I48:N48)</f>
        <v>2011.89399999989</v>
      </c>
    </row>
    <row r="49" customFormat="false" ht="15" hidden="false" customHeight="false" outlineLevel="0" collapsed="false">
      <c r="B49" s="81" t="s">
        <v>279</v>
      </c>
      <c r="C49" s="82" t="n">
        <f aca="false">C21+C31</f>
        <v>4992.25329999998</v>
      </c>
      <c r="D49" s="82" t="n">
        <f aca="false">D21+D31</f>
        <v>11406.0076</v>
      </c>
      <c r="E49" s="82" t="n">
        <f aca="false">E21+E31</f>
        <v>-2807.815</v>
      </c>
      <c r="F49" s="82" t="n">
        <f aca="false">F21+F31</f>
        <v>1098.96319999997</v>
      </c>
      <c r="G49" s="82" t="n">
        <f aca="false">G21+G31</f>
        <v>4249.44759999999</v>
      </c>
      <c r="H49" s="82" t="n">
        <f aca="false">H21+H31</f>
        <v>8054.27110000001</v>
      </c>
      <c r="I49" s="82" t="n">
        <f aca="false">I21+I31</f>
        <v>-2319.89610000001</v>
      </c>
      <c r="J49" s="82" t="n">
        <f aca="false">J21+J31</f>
        <v>-2379.17370000003</v>
      </c>
      <c r="K49" s="82" t="n">
        <f aca="false">K21+K31</f>
        <v>3665.62929999999</v>
      </c>
      <c r="L49" s="82" t="n">
        <f aca="false">L21+L31</f>
        <v>3943.26829999998</v>
      </c>
      <c r="M49" s="82" t="n">
        <f aca="false">M21+M31</f>
        <v>2621.52929999998</v>
      </c>
      <c r="N49" s="82" t="n">
        <f aca="false">N21+N31</f>
        <v>-3519.46310000001</v>
      </c>
      <c r="O49" s="85" t="n">
        <f aca="false">SUM(C49:N49)</f>
        <v>29005.0217999998</v>
      </c>
      <c r="P49" s="85" t="n">
        <f aca="false">SUM(I49:N49)</f>
        <v>2011.89399999989</v>
      </c>
    </row>
    <row r="51" customFormat="false" ht="15" hidden="false" customHeight="false" outlineLevel="0" collapsed="false">
      <c r="B51" s="3" t="s">
        <v>336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false" outlineLevel="0" collapsed="false">
      <c r="B52" s="10" t="s">
        <v>337</v>
      </c>
      <c r="C52" s="86" t="n">
        <f aca="false">C21</f>
        <v>4992.25329999998</v>
      </c>
      <c r="D52" s="86" t="n">
        <f aca="false">D21</f>
        <v>11406.0076</v>
      </c>
      <c r="E52" s="86" t="n">
        <f aca="false">E21</f>
        <v>-2807.815</v>
      </c>
      <c r="F52" s="86" t="n">
        <f aca="false">F21</f>
        <v>1098.96319999997</v>
      </c>
      <c r="G52" s="86" t="n">
        <f aca="false">G21</f>
        <v>4249.44759999999</v>
      </c>
      <c r="H52" s="86" t="n">
        <f aca="false">H21</f>
        <v>8054.27110000001</v>
      </c>
      <c r="I52" s="86" t="n">
        <f aca="false">I21</f>
        <v>-2319.89610000001</v>
      </c>
      <c r="J52" s="86" t="n">
        <f aca="false">J21</f>
        <v>-2565.48170000003</v>
      </c>
      <c r="K52" s="86" t="n">
        <f aca="false">K21</f>
        <v>3454.53829999999</v>
      </c>
      <c r="L52" s="86" t="n">
        <f aca="false">L21</f>
        <v>3740.43829999998</v>
      </c>
      <c r="M52" s="86" t="n">
        <f aca="false">M21</f>
        <v>2410.43829999998</v>
      </c>
      <c r="N52" s="86" t="n">
        <f aca="false">N21</f>
        <v>-3722.29310000001</v>
      </c>
      <c r="O52" s="86" t="n">
        <f aca="false">O21</f>
        <v>27990.8717999998</v>
      </c>
      <c r="P52" s="86" t="n">
        <f aca="false">P21</f>
        <v>997.74399999989</v>
      </c>
      <c r="Q52" s="12" t="s">
        <v>338</v>
      </c>
    </row>
    <row r="53" customFormat="false" ht="15" hidden="false" customHeight="false" outlineLevel="0" collapsed="false">
      <c r="B53" s="10" t="s">
        <v>339</v>
      </c>
      <c r="C53" s="86" t="n">
        <f aca="false">C49</f>
        <v>4992.25329999998</v>
      </c>
      <c r="D53" s="86" t="n">
        <f aca="false">D49</f>
        <v>11406.0076</v>
      </c>
      <c r="E53" s="86" t="n">
        <f aca="false">E49</f>
        <v>-2807.815</v>
      </c>
      <c r="F53" s="86" t="n">
        <f aca="false">F49</f>
        <v>1098.96319999997</v>
      </c>
      <c r="G53" s="86" t="n">
        <f aca="false">G49</f>
        <v>4249.44759999999</v>
      </c>
      <c r="H53" s="86" t="n">
        <f aca="false">H49</f>
        <v>8054.27110000001</v>
      </c>
      <c r="I53" s="86" t="n">
        <f aca="false">I49</f>
        <v>-2319.89610000001</v>
      </c>
      <c r="J53" s="86" t="n">
        <f aca="false">J49</f>
        <v>-2379.17370000003</v>
      </c>
      <c r="K53" s="86" t="n">
        <f aca="false">K49</f>
        <v>3665.62929999999</v>
      </c>
      <c r="L53" s="86" t="n">
        <f aca="false">L49</f>
        <v>3943.26829999998</v>
      </c>
      <c r="M53" s="86" t="n">
        <f aca="false">M49</f>
        <v>2621.52929999998</v>
      </c>
      <c r="N53" s="86" t="n">
        <f aca="false">N49</f>
        <v>-3519.46310000001</v>
      </c>
      <c r="O53" s="86" t="n">
        <f aca="false">O49</f>
        <v>29005.0217999998</v>
      </c>
      <c r="P53" s="86" t="n">
        <f aca="false">P49</f>
        <v>2011.89399999989</v>
      </c>
    </row>
    <row r="54" customFormat="false" ht="15" hidden="false" customHeight="false" outlineLevel="0" collapsed="false">
      <c r="B54" s="81" t="s">
        <v>340</v>
      </c>
      <c r="C54" s="82" t="n">
        <f aca="false">C53-C52</f>
        <v>0</v>
      </c>
      <c r="D54" s="82" t="n">
        <f aca="false">D53-D52</f>
        <v>0</v>
      </c>
      <c r="E54" s="82" t="n">
        <f aca="false">E53-E52</f>
        <v>0</v>
      </c>
      <c r="F54" s="82" t="n">
        <f aca="false">F53-F52</f>
        <v>0</v>
      </c>
      <c r="G54" s="82" t="n">
        <f aca="false">G53-G52</f>
        <v>0</v>
      </c>
      <c r="H54" s="82" t="n">
        <f aca="false">H53-H52</f>
        <v>0</v>
      </c>
      <c r="I54" s="82" t="n">
        <f aca="false">I53-I52</f>
        <v>0</v>
      </c>
      <c r="J54" s="82" t="n">
        <f aca="false">J53-J52</f>
        <v>186.308</v>
      </c>
      <c r="K54" s="82" t="n">
        <f aca="false">K53-K52</f>
        <v>211.091</v>
      </c>
      <c r="L54" s="82" t="n">
        <f aca="false">L53-L52</f>
        <v>202.83</v>
      </c>
      <c r="M54" s="82" t="n">
        <f aca="false">M53-M52</f>
        <v>211.091</v>
      </c>
      <c r="N54" s="82" t="n">
        <f aca="false">N53-N52</f>
        <v>202.83</v>
      </c>
      <c r="O54" s="82" t="n">
        <f aca="false">O53-O52</f>
        <v>1014.15</v>
      </c>
      <c r="P54" s="82" t="n">
        <f aca="false">P53-P52</f>
        <v>1014.15</v>
      </c>
      <c r="Q54" s="22" t="s">
        <v>341</v>
      </c>
    </row>
    <row r="55" customFormat="false" ht="15" hidden="false" customHeight="false" outlineLevel="0" collapsed="false">
      <c r="B55" s="5" t="s">
        <v>46</v>
      </c>
      <c r="C55" s="87" t="str">
        <f aca="false">IF(C54&gt;0,"予算超",IF(C54=0,"予算通り","未達"))</f>
        <v>予算通り</v>
      </c>
      <c r="D55" s="87" t="str">
        <f aca="false">IF(D54&gt;0,"予算超",IF(D54=0,"予算通り","未達"))</f>
        <v>予算通り</v>
      </c>
      <c r="E55" s="87" t="str">
        <f aca="false">IF(E54&gt;0,"予算超",IF(E54=0,"予算通り","未達"))</f>
        <v>予算通り</v>
      </c>
      <c r="F55" s="87" t="str">
        <f aca="false">IF(F54&gt;0,"予算超",IF(F54=0,"予算通り","未達"))</f>
        <v>予算通り</v>
      </c>
      <c r="G55" s="87" t="str">
        <f aca="false">IF(G54&gt;0,"予算超",IF(G54=0,"予算通り","未達"))</f>
        <v>予算通り</v>
      </c>
      <c r="H55" s="87" t="str">
        <f aca="false">IF(H54&gt;0,"予算超",IF(H54=0,"予算通り","未達"))</f>
        <v>予算通り</v>
      </c>
      <c r="I55" s="87" t="str">
        <f aca="false">IF(I54&gt;0,"予算超",IF(I54=0,"予算通り","未達"))</f>
        <v>予算通り</v>
      </c>
      <c r="J55" s="87" t="str">
        <f aca="false">IF(J54&gt;0,"予算超",IF(J54=0,"予算通り","未達"))</f>
        <v>予算超</v>
      </c>
      <c r="K55" s="87" t="str">
        <f aca="false">IF(K54&gt;0,"予算超",IF(K54=0,"予算通り","未達"))</f>
        <v>予算超</v>
      </c>
      <c r="L55" s="87" t="str">
        <f aca="false">IF(L54&gt;0,"予算超",IF(L54=0,"予算通り","未達"))</f>
        <v>予算超</v>
      </c>
      <c r="M55" s="87" t="str">
        <f aca="false">IF(M54&gt;0,"予算超",IF(M54=0,"予算通り","未達"))</f>
        <v>予算超</v>
      </c>
      <c r="N55" s="87" t="str">
        <f aca="false">IF(N54&gt;0,"予算超",IF(N54=0,"予算通り","未達"))</f>
        <v>予算超</v>
      </c>
      <c r="O55" s="87" t="str">
        <f aca="false">IF(O54&gt;0,"予算超",IF(O54=0,"予算通り","未達"))</f>
        <v>予算超</v>
      </c>
      <c r="P55" s="87" t="str">
        <f aca="false">IF(P54&gt;0,"予算超",IF(P54=0,"予算通り","未達"))</f>
        <v>予算超</v>
      </c>
    </row>
    <row r="56" customFormat="false" ht="15" hidden="false" customHeight="false" outlineLevel="0" collapsed="false">
      <c r="B56" s="5" t="s">
        <v>342</v>
      </c>
      <c r="C56" s="88" t="n">
        <f aca="false">IF(C8=0,0,C21/C8)</f>
        <v>0.00633695519167299</v>
      </c>
      <c r="D56" s="88" t="n">
        <f aca="false">IF(D8=0,0,D21/D8)</f>
        <v>0.0136304510929176</v>
      </c>
      <c r="E56" s="88" t="n">
        <f aca="false">IF(E8=0,0,E21/E8)</f>
        <v>-0.00375577180310327</v>
      </c>
      <c r="F56" s="88" t="n">
        <f aca="false">IF(F8=0,0,F21/F8)</f>
        <v>0.00142256102072392</v>
      </c>
      <c r="G56" s="88" t="n">
        <f aca="false">IF(G8=0,0,G21/G8)</f>
        <v>0.00566369848509823</v>
      </c>
      <c r="H56" s="88" t="n">
        <f aca="false">IF(H8=0,0,H21/H8)</f>
        <v>0.00950686548102396</v>
      </c>
      <c r="I56" s="88" t="n">
        <f aca="false">IF(I8=0,0,I21/I8)</f>
        <v>-0.00301199204466636</v>
      </c>
      <c r="J56" s="88" t="n">
        <f aca="false">IF(J8=0,0,J21/J8)</f>
        <v>-0.00351628522478075</v>
      </c>
      <c r="K56" s="88" t="n">
        <f aca="false">IF(K8=0,0,K21/K8)</f>
        <v>0.004179719661222</v>
      </c>
      <c r="L56" s="88" t="n">
        <f aca="false">IF(L8=0,0,L21/L8)</f>
        <v>0.00472277563131311</v>
      </c>
      <c r="M56" s="88" t="n">
        <f aca="false">IF(M8=0,0,M21/M8)</f>
        <v>0.00300553403990022</v>
      </c>
      <c r="N56" s="88" t="n">
        <f aca="false">IF(N8=0,0,N21/N8)</f>
        <v>-0.00479059601029602</v>
      </c>
      <c r="O56" s="88" t="n">
        <f aca="false">IF(O8=0,0,O21/O8)</f>
        <v>0.00296527639568195</v>
      </c>
      <c r="P56" s="88" t="n">
        <f aca="false">IF(P8=0,0,P21/P8)</f>
        <v>0.000212407080867316</v>
      </c>
    </row>
    <row r="57" customFormat="false" ht="15" hidden="false" customHeight="false" outlineLevel="0" collapsed="false">
      <c r="B57" s="5" t="s">
        <v>343</v>
      </c>
      <c r="C57" s="88" t="n">
        <f aca="false">IF(C8=0,0,C49/C8)</f>
        <v>0.00633695519167299</v>
      </c>
      <c r="D57" s="88" t="n">
        <f aca="false">IF(D8=0,0,D49/D8)</f>
        <v>0.0136304510929176</v>
      </c>
      <c r="E57" s="88" t="n">
        <f aca="false">IF(E8=0,0,E49/E8)</f>
        <v>-0.00375577180310327</v>
      </c>
      <c r="F57" s="88" t="n">
        <f aca="false">IF(F8=0,0,F49/F8)</f>
        <v>0.00142256102072392</v>
      </c>
      <c r="G57" s="88" t="n">
        <f aca="false">IF(G8=0,0,G49/G8)</f>
        <v>0.00566369848509823</v>
      </c>
      <c r="H57" s="88" t="n">
        <f aca="false">IF(H8=0,0,H49/H8)</f>
        <v>0.00950686548102396</v>
      </c>
      <c r="I57" s="88" t="n">
        <f aca="false">IF(I8=0,0,I49/I8)</f>
        <v>-0.00301199204466636</v>
      </c>
      <c r="J57" s="88" t="n">
        <f aca="false">IF(J8=0,0,J49/J8)</f>
        <v>-0.00326092886513162</v>
      </c>
      <c r="K57" s="88" t="n">
        <f aca="false">IF(K8=0,0,K49/K8)</f>
        <v>0.00443512316999393</v>
      </c>
      <c r="L57" s="88" t="n">
        <f aca="false">IF(L8=0,0,L49/L8)</f>
        <v>0.00497887411616159</v>
      </c>
      <c r="M57" s="88" t="n">
        <f aca="false">IF(M8=0,0,M49/M8)</f>
        <v>0.00326873977556107</v>
      </c>
      <c r="N57" s="88" t="n">
        <f aca="false">IF(N8=0,0,N49/N8)</f>
        <v>-0.00452955353925355</v>
      </c>
      <c r="O57" s="88" t="n">
        <f aca="false">IF(O8=0,0,O49/O8)</f>
        <v>0.00307271267269997</v>
      </c>
      <c r="P57" s="88" t="n">
        <f aca="false">IF(P8=0,0,P49/P8)</f>
        <v>0.000428306791676513</v>
      </c>
    </row>
  </sheetData>
  <conditionalFormatting sqref="C55:P55">
    <cfRule type="expression" priority="2" aboveAverage="0" equalAverage="0" bottom="0" percent="0" rank="0" text="" dxfId="2">
      <formula>C55="未達"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2026-10-29T07:02:57Z</dcterms:created>
  <dc:creator>openpyxl</dc:creator>
  <dc:description/>
  <dc:language>en-US</dc:language>
  <cp:lastModifiedBy/>
  <dcterms:modified xsi:type="dcterms:W3CDTF">2026-10-29T07:02:59Z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