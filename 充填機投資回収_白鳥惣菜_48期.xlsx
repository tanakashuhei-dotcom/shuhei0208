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説明用要約" sheetId="2" state="visible" r:id="rId4"/>
    <sheet name="印刷用_社長" sheetId="3" state="visible" r:id="rId5"/>
    <sheet name="印刷用_製造部長" sheetId="4" state="visible" r:id="rId6"/>
    <sheet name="前提条件" sheetId="5" state="visible" r:id="rId7"/>
    <sheet name="投資回収_月次" sheetId="6" state="visible" r:id="rId8"/>
    <sheet name="年度別_償却" sheetId="7" state="visible" r:id="rId9"/>
    <sheet name="予算原本_白鳥惣菜" sheetId="8" state="visible" r:id="rId10"/>
    <sheet name="実績原本_白鳥惣菜_7-9月" sheetId="9" state="visible" r:id="rId11"/>
    <sheet name="白鳥惣菜PL_導入効果" sheetId="10" state="visible" r:id="rId12"/>
    <sheet name="白鳥惣菜PL_実績見込_導入効果" sheetId="11" state="visible" r:id="rId13"/>
  </sheets>
  <definedNames>
    <definedName function="false" hidden="false" localSheetId="2" name="_xlnm.Print_Area" vbProcedure="false">印刷用_社長!$A$1:$J$39</definedName>
    <definedName function="false" hidden="false" localSheetId="3" name="_xlnm.Print_Area" vbProcedure="false">印刷用_製造部長!$A$1:$J$35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<sst xmlns="http://schemas.openxmlformats.org/spreadsheetml/2006/main" count="930" uniqueCount="478">
  <si>
    <t xml:space="preserve">充填機導入　投資回収計画（白鳥惣菜）</t>
  </si>
  <si>
    <r>
      <rPr>
        <sz val="10"/>
        <color rgb="FF808080"/>
        <rFont val="Meiryo UI"/>
        <family val="0"/>
        <charset val="1"/>
      </rPr>
      <t xml:space="preserve">48</t>
    </r>
    <r>
      <rPr>
        <sz val="10"/>
        <color rgb="FF808080"/>
        <rFont val="WenQuanYi Zen Hei"/>
        <family val="2"/>
      </rPr>
      <t xml:space="preserve">期（製造</t>
    </r>
    <r>
      <rPr>
        <sz val="10"/>
        <color rgb="FF808080"/>
        <rFont val="Meiryo UI"/>
        <family val="0"/>
        <charset val="1"/>
      </rPr>
      <t xml:space="preserve">PL 17</t>
    </r>
    <r>
      <rPr>
        <sz val="10"/>
        <color rgb="FF808080"/>
        <rFont val="WenQuanYi Zen Hei"/>
        <family val="2"/>
      </rPr>
      <t xml:space="preserve">期）下期・</t>
    </r>
    <r>
      <rPr>
        <sz val="10"/>
        <color rgb="FF808080"/>
        <rFont val="Meiryo UI"/>
        <family val="0"/>
        <charset val="1"/>
      </rPr>
      <t xml:space="preserve">2027</t>
    </r>
    <r>
      <rPr>
        <sz val="10"/>
        <color rgb="FF808080"/>
        <rFont val="WenQuanYi Zen Hei"/>
        <family val="2"/>
      </rPr>
      <t xml:space="preserve">年</t>
    </r>
    <r>
      <rPr>
        <sz val="10"/>
        <color rgb="FF808080"/>
        <rFont val="Meiryo UI"/>
        <family val="0"/>
        <charset val="1"/>
      </rPr>
      <t xml:space="preserve">2</t>
    </r>
    <r>
      <rPr>
        <sz val="10"/>
        <color rgb="FF808080"/>
        <rFont val="WenQuanYi Zen Hei"/>
        <family val="2"/>
      </rPr>
      <t xml:space="preserve">月</t>
    </r>
    <r>
      <rPr>
        <sz val="10"/>
        <color rgb="FF808080"/>
        <rFont val="Meiryo UI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日導入　／　減価償却</t>
    </r>
    <r>
      <rPr>
        <sz val="10"/>
        <color rgb="FF808080"/>
        <rFont val="Meiryo UI"/>
        <family val="0"/>
        <charset val="1"/>
      </rPr>
      <t xml:space="preserve">10</t>
    </r>
    <r>
      <rPr>
        <sz val="10"/>
        <color rgb="FF808080"/>
        <rFont val="WenQuanYi Zen Hei"/>
        <family val="2"/>
      </rPr>
      <t xml:space="preserve">年・投資回収</t>
    </r>
    <r>
      <rPr>
        <sz val="10"/>
        <color rgb="FF808080"/>
        <rFont val="Meiryo UI"/>
        <family val="0"/>
        <charset val="1"/>
      </rPr>
      <t xml:space="preserve">5</t>
    </r>
    <r>
      <rPr>
        <sz val="10"/>
        <color rgb="FF808080"/>
        <rFont val="WenQuanYi Zen Hei"/>
        <family val="2"/>
      </rPr>
      <t xml:space="preserve">年以内の基準で試算</t>
    </r>
  </si>
  <si>
    <t xml:space="preserve">■ 投資概要</t>
  </si>
  <si>
    <t xml:space="preserve">導入機械</t>
  </si>
  <si>
    <r>
      <rPr>
        <sz val="10"/>
        <color rgb="FF000000"/>
        <rFont val="WenQuanYi Zen Hei"/>
        <family val="2"/>
      </rPr>
      <t xml:space="preserve">充填機（</t>
    </r>
    <r>
      <rPr>
        <sz val="10"/>
        <color rgb="FF000000"/>
        <rFont val="Meiryo UI"/>
        <family val="0"/>
        <charset val="1"/>
      </rPr>
      <t xml:space="preserve">AC200V 0.4kW </t>
    </r>
    <r>
      <rPr>
        <sz val="10"/>
        <color rgb="FF000000"/>
        <rFont val="WenQuanYi Zen Hei"/>
        <family val="2"/>
      </rPr>
      <t xml:space="preserve">サーボ／ホッパー</t>
    </r>
    <r>
      <rPr>
        <sz val="10"/>
        <color rgb="FF000000"/>
        <rFont val="Meiryo UI"/>
        <family val="0"/>
        <charset val="1"/>
      </rPr>
      <t xml:space="preserve">15ℓ</t>
    </r>
    <r>
      <rPr>
        <sz val="10"/>
        <color rgb="FF000000"/>
        <rFont val="WenQuanYi Zen Hei"/>
        <family val="2"/>
      </rPr>
      <t xml:space="preserve">）</t>
    </r>
  </si>
  <si>
    <t xml:space="preserve">台数</t>
  </si>
  <si>
    <t xml:space="preserve">充填機本体（取得価額）</t>
  </si>
  <si>
    <t xml:space="preserve">対象商品</t>
  </si>
  <si>
    <t xml:space="preserve">カスタード＆ホイップシュー／ふんわりバナナロール</t>
  </si>
  <si>
    <t xml:space="preserve">導入日</t>
  </si>
  <si>
    <t xml:space="preserve">減価償却（機械）</t>
  </si>
  <si>
    <t xml:space="preserve">電気・付帯工事費</t>
  </si>
  <si>
    <t xml:space="preserve">電気・付帯工事の会計処理</t>
  </si>
  <si>
    <t xml:space="preserve">総投資額（機械＋電気・付帯工事）</t>
  </si>
  <si>
    <t xml:space="preserve">■ 結論（月平均）</t>
  </si>
  <si>
    <t xml:space="preserve">月平均 投資効果（償却前）</t>
  </si>
  <si>
    <t xml:space="preserve">人件費・絞り袋の削減 − 電気・洗浄・保守</t>
  </si>
  <si>
    <t xml:space="preserve">月額 減価償却費</t>
  </si>
  <si>
    <r>
      <rPr>
        <sz val="9"/>
        <color rgb="FF808080"/>
        <rFont val="WenQuanYi Zen Hei"/>
        <family val="2"/>
      </rPr>
      <t xml:space="preserve">機械（取得価額</t>
    </r>
    <r>
      <rPr>
        <sz val="9"/>
        <color rgb="FF808080"/>
        <rFont val="Meiryo UI"/>
        <family val="0"/>
        <charset val="1"/>
      </rPr>
      <t xml:space="preserve">÷120</t>
    </r>
    <r>
      <rPr>
        <sz val="9"/>
        <color rgb="FF808080"/>
        <rFont val="WenQuanYi Zen Hei"/>
        <family val="2"/>
      </rPr>
      <t xml:space="preserve">か月）＋電気・付帯工事（資産計上時）</t>
    </r>
  </si>
  <si>
    <t xml:space="preserve">月平均 利益改善額（償却後）</t>
  </si>
  <si>
    <t xml:space="preserve">償却費を差し引いても毎月プラス</t>
  </si>
  <si>
    <t xml:space="preserve">投資回収期間</t>
  </si>
  <si>
    <t xml:space="preserve">回収年月</t>
  </si>
  <si>
    <r>
      <rPr>
        <b val="true"/>
        <sz val="10"/>
        <color rgb="FF000000"/>
        <rFont val="WenQuanYi Zen Hei"/>
        <family val="2"/>
      </rPr>
      <t xml:space="preserve">回収基準（</t>
    </r>
    <r>
      <rPr>
        <b val="true"/>
        <sz val="10"/>
        <color rgb="FF000000"/>
        <rFont val="Meiryo UI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年以内）</t>
    </r>
  </si>
  <si>
    <r>
      <rPr>
        <b val="true"/>
        <sz val="10"/>
        <color rgb="FF000000"/>
        <rFont val="Meiryo UI"/>
        <family val="0"/>
        <charset val="1"/>
      </rPr>
      <t xml:space="preserve">48</t>
    </r>
    <r>
      <rPr>
        <b val="true"/>
        <sz val="10"/>
        <color rgb="FF000000"/>
        <rFont val="WenQuanYi Zen Hei"/>
        <family val="2"/>
      </rPr>
      <t xml:space="preserve">期（</t>
    </r>
    <r>
      <rPr>
        <b val="true"/>
        <sz val="10"/>
        <color rgb="FF000000"/>
        <rFont val="Meiryo UI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〜</t>
    </r>
    <r>
      <rPr>
        <b val="true"/>
        <sz val="10"/>
        <color rgb="FF000000"/>
        <rFont val="Meiryo UI"/>
        <family val="0"/>
        <charset val="1"/>
      </rPr>
      <t xml:space="preserve">6</t>
    </r>
    <r>
      <rPr>
        <b val="true"/>
        <sz val="10"/>
        <color rgb="FF000000"/>
        <rFont val="WenQuanYi Zen Hei"/>
        <family val="2"/>
      </rPr>
      <t xml:space="preserve">月）経常利益の予算比</t>
    </r>
  </si>
  <si>
    <r>
      <rPr>
        <sz val="9"/>
        <color rgb="FF808080"/>
        <rFont val="WenQuanYi Zen Hei"/>
        <family val="2"/>
      </rPr>
      <t xml:space="preserve">導入後</t>
    </r>
    <r>
      <rPr>
        <sz val="9"/>
        <color rgb="FF808080"/>
        <rFont val="Meiryo UI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の下期計 − 予算下期計</t>
    </r>
  </si>
  <si>
    <r>
      <rPr>
        <b val="true"/>
        <sz val="10"/>
        <color rgb="FF000000"/>
        <rFont val="Meiryo UI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年累計 利益改善額（償却後）</t>
    </r>
  </si>
  <si>
    <t xml:space="preserve">損益分岐の効果発現率</t>
  </si>
  <si>
    <t xml:space="preserve">効果がこの割合まで落ちても赤字にならない</t>
  </si>
  <si>
    <r>
      <rPr>
        <b val="true"/>
        <sz val="11"/>
        <color rgb="FF1F3864"/>
        <rFont val="Meiryo UI"/>
        <family val="0"/>
        <charset val="1"/>
      </rPr>
      <t xml:space="preserve">■ 1</t>
    </r>
    <r>
      <rPr>
        <b val="true"/>
        <sz val="11"/>
        <color rgb="FF1F3864"/>
        <rFont val="WenQuanYi Zen Hei"/>
        <family val="2"/>
      </rPr>
      <t xml:space="preserve">日当たりの効果</t>
    </r>
  </si>
  <si>
    <t xml:space="preserve">削減人時</t>
  </si>
  <si>
    <t xml:space="preserve">人件費削減</t>
  </si>
  <si>
    <r>
      <rPr>
        <sz val="9"/>
        <color rgb="FF808080"/>
        <rFont val="WenQuanYi Zen Hei"/>
        <family val="2"/>
      </rPr>
      <t xml:space="preserve">時給</t>
    </r>
    <r>
      <rPr>
        <sz val="9"/>
        <color rgb="FF808080"/>
        <rFont val="Meiryo UI"/>
        <family val="0"/>
        <charset val="1"/>
      </rPr>
      <t xml:space="preserve">1,500</t>
    </r>
    <r>
      <rPr>
        <sz val="9"/>
        <color rgb="FF808080"/>
        <rFont val="WenQuanYi Zen Hei"/>
        <family val="2"/>
      </rPr>
      <t xml:space="preserve">円</t>
    </r>
  </si>
  <si>
    <t xml:space="preserve">絞り袋削減</t>
  </si>
  <si>
    <r>
      <rPr>
        <sz val="9"/>
        <color rgb="FF808080"/>
        <rFont val="Meiryo UI"/>
        <family val="0"/>
        <charset val="1"/>
      </rPr>
      <t xml:space="preserve">16</t>
    </r>
    <r>
      <rPr>
        <sz val="9"/>
        <color rgb="FF808080"/>
        <rFont val="WenQuanYi Zen Hei"/>
        <family val="2"/>
      </rPr>
      <t xml:space="preserve">円</t>
    </r>
    <r>
      <rPr>
        <sz val="9"/>
        <color rgb="FF808080"/>
        <rFont val="Meiryo UI"/>
        <family val="0"/>
        <charset val="1"/>
      </rPr>
      <t xml:space="preserve">×6</t>
    </r>
    <r>
      <rPr>
        <sz val="9"/>
        <color rgb="FF808080"/>
        <rFont val="WenQuanYi Zen Hei"/>
        <family val="2"/>
      </rPr>
      <t xml:space="preserve">枚</t>
    </r>
  </si>
  <si>
    <t xml:space="preserve">電気代・洗浄費（増）</t>
  </si>
  <si>
    <r>
      <rPr>
        <sz val="9"/>
        <color rgb="FF808080"/>
        <rFont val="Meiryo UI"/>
        <family val="0"/>
        <charset val="1"/>
      </rPr>
      <t xml:space="preserve">0.4kW×2</t>
    </r>
    <r>
      <rPr>
        <sz val="9"/>
        <color rgb="FF808080"/>
        <rFont val="WenQuanYi Zen Hei"/>
        <family val="2"/>
      </rPr>
      <t xml:space="preserve">台</t>
    </r>
    <r>
      <rPr>
        <sz val="9"/>
        <color rgb="FF808080"/>
        <rFont val="Meiryo UI"/>
        <family val="0"/>
        <charset val="1"/>
      </rPr>
      <t xml:space="preserve">×2.5h</t>
    </r>
    <r>
      <rPr>
        <sz val="9"/>
        <color rgb="FF808080"/>
        <rFont val="WenQuanYi Zen Hei"/>
        <family val="2"/>
      </rPr>
      <t xml:space="preserve">＋洗浄</t>
    </r>
  </si>
  <si>
    <t xml:space="preserve">純効果</t>
  </si>
  <si>
    <r>
      <rPr>
        <b val="true"/>
        <sz val="11"/>
        <color rgb="FF1F3864"/>
        <rFont val="Meiryo UI"/>
        <family val="0"/>
        <charset val="1"/>
      </rPr>
      <t xml:space="preserve">■ 48</t>
    </r>
    <r>
      <rPr>
        <b val="true"/>
        <sz val="11"/>
        <color rgb="FF1F3864"/>
        <rFont val="WenQuanYi Zen Hei"/>
        <family val="2"/>
      </rPr>
      <t xml:space="preserve">期 下期の経常利益（千円）　予算 </t>
    </r>
    <r>
      <rPr>
        <b val="true"/>
        <sz val="11"/>
        <color rgb="FF1F3864"/>
        <rFont val="Meiryo UI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導入後</t>
    </r>
  </si>
  <si>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</si>
  <si>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</si>
  <si>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</si>
  <si>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</si>
  <si>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</si>
  <si>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</si>
  <si>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下期計</t>
  </si>
  <si>
    <t xml:space="preserve">予算</t>
  </si>
  <si>
    <t xml:space="preserve">導入後</t>
  </si>
  <si>
    <t xml:space="preserve">差額</t>
  </si>
  <si>
    <t xml:space="preserve">判定</t>
  </si>
  <si>
    <t xml:space="preserve">■ 定性効果（金額には未算入＝上振れ要因）</t>
  </si>
  <si>
    <t xml:space="preserve">・充填重量の精度向上 → 充填後の計量を「全量計量」から「抜き打ち計量」へ（計量工数の削減）</t>
  </si>
  <si>
    <t xml:space="preserve">・クリームの充填量ばらつき・絞り残しの減少 → 原材料ロスの削減</t>
  </si>
  <si>
    <r>
      <rPr>
        <sz val="10"/>
        <color rgb="FF000000"/>
        <rFont val="WenQuanYi Zen Hei"/>
        <family val="2"/>
      </rPr>
      <t xml:space="preserve">・絞り袋への手詰め（</t>
    </r>
    <r>
      <rPr>
        <sz val="10"/>
        <color rgb="FF000000"/>
        <rFont val="Meiryo UI"/>
        <family val="0"/>
        <charset val="1"/>
      </rPr>
      <t xml:space="preserve">1kg</t>
    </r>
    <r>
      <rPr>
        <sz val="10"/>
        <color rgb="FF000000"/>
        <rFont val="WenQuanYi Zen Hei"/>
        <family val="2"/>
      </rPr>
      <t xml:space="preserve">ずつ）がホッパー</t>
    </r>
    <r>
      <rPr>
        <sz val="10"/>
        <color rgb="FF000000"/>
        <rFont val="Meiryo UI"/>
        <family val="0"/>
        <charset val="1"/>
      </rPr>
      <t xml:space="preserve">10ℓ</t>
    </r>
    <r>
      <rPr>
        <sz val="10"/>
        <color rgb="FF000000"/>
        <rFont val="WenQuanYi Zen Hei"/>
        <family val="2"/>
      </rPr>
      <t xml:space="preserve">一括投入に → 充填回数・手作業の削減、衛生面の向上</t>
    </r>
  </si>
  <si>
    <r>
      <rPr>
        <sz val="10"/>
        <color rgb="FF000000"/>
        <rFont val="WenQuanYi Zen Hei"/>
        <family val="2"/>
      </rPr>
      <t xml:space="preserve">・生産能力 約</t>
    </r>
    <r>
      <rPr>
        <sz val="10"/>
        <color rgb="FF000000"/>
        <rFont val="Meiryo UI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個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時（</t>
    </r>
    <r>
      <rPr>
        <sz val="10"/>
        <color rgb="FF000000"/>
        <rFont val="Meiryo UI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口）→ 増産・新商品への対応余力</t>
    </r>
  </si>
  <si>
    <t xml:space="preserve">■ 前提・留意点</t>
  </si>
  <si>
    <r>
      <rPr>
        <sz val="9"/>
        <color rgb="FF000000"/>
        <rFont val="WenQuanYi Zen Hei"/>
        <family val="2"/>
      </rPr>
      <t xml:space="preserve">・投資額</t>
    </r>
    <r>
      <rPr>
        <sz val="9"/>
        <color rgb="FF000000"/>
        <rFont val="Meiryo UI"/>
        <family val="0"/>
        <charset val="1"/>
      </rPr>
      <t xml:space="preserve">450</t>
    </r>
    <r>
      <rPr>
        <sz val="9"/>
        <color rgb="FF000000"/>
        <rFont val="WenQuanYi Zen Hei"/>
        <family val="2"/>
      </rPr>
      <t xml:space="preserve">万円は暫定値。見積確定後に「前提条件」シートを更新すれば全シートが連動します。</t>
    </r>
  </si>
  <si>
    <t xml:space="preserve">・人件費削減は、削減人時分のパートシフトを実際に減らす（または他工程へ再配置し残業・派遣を減らす）ことが前提です。</t>
  </si>
  <si>
    <r>
      <rPr>
        <sz val="9"/>
        <color rgb="FF000000"/>
        <rFont val="WenQuanYi Zen Hei"/>
        <family val="2"/>
      </rPr>
      <t xml:space="preserve">・稼働日数は年</t>
    </r>
    <r>
      <rPr>
        <sz val="9"/>
        <color rgb="FF000000"/>
        <rFont val="Meiryo UI"/>
        <family val="0"/>
        <charset val="1"/>
      </rPr>
      <t xml:space="preserve">365</t>
    </r>
    <r>
      <rPr>
        <sz val="9"/>
        <color rgb="FF000000"/>
        <rFont val="WenQuanYi Zen Hei"/>
        <family val="2"/>
      </rPr>
      <t xml:space="preserve">日（暦日）、電力単価</t>
    </r>
    <r>
      <rPr>
        <sz val="9"/>
        <color rgb="FF000000"/>
        <rFont val="Meiryo UI"/>
        <family val="0"/>
        <charset val="1"/>
      </rPr>
      <t xml:space="preserve">30</t>
    </r>
    <r>
      <rPr>
        <sz val="9"/>
        <color rgb="FF000000"/>
        <rFont val="WenQuanYi Zen Hei"/>
        <family val="2"/>
      </rPr>
      <t xml:space="preserve">円</t>
    </r>
    <r>
      <rPr>
        <sz val="9"/>
        <color rgb="FF000000"/>
        <rFont val="Meiryo UI"/>
        <family val="0"/>
        <charset val="1"/>
      </rPr>
      <t xml:space="preserve">/kWh</t>
    </r>
    <r>
      <rPr>
        <sz val="9"/>
        <color rgb="FF000000"/>
        <rFont val="WenQuanYi Zen Hei"/>
        <family val="2"/>
      </rPr>
      <t xml:space="preserve">、洗浄費</t>
    </r>
    <r>
      <rPr>
        <sz val="9"/>
        <color rgb="FF000000"/>
        <rFont val="Meiryo UI"/>
        <family val="0"/>
        <charset val="1"/>
      </rPr>
      <t xml:space="preserve">150</t>
    </r>
    <r>
      <rPr>
        <sz val="9"/>
        <color rgb="FF000000"/>
        <rFont val="WenQuanYi Zen Hei"/>
        <family val="2"/>
      </rPr>
      <t xml:space="preserve">円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日、保守部品費は取得価額の</t>
    </r>
    <r>
      <rPr>
        <sz val="9"/>
        <color rgb="FF000000"/>
        <rFont val="Meiryo UI"/>
        <family val="0"/>
        <charset val="1"/>
      </rPr>
      <t xml:space="preserve">2%/</t>
    </r>
    <r>
      <rPr>
        <sz val="9"/>
        <color rgb="FF000000"/>
        <rFont val="WenQuanYi Zen Hei"/>
        <family val="2"/>
      </rPr>
      <t xml:space="preserve">年を想定しています。</t>
    </r>
  </si>
  <si>
    <r>
      <rPr>
        <sz val="9"/>
        <color rgb="FF000000"/>
        <rFont val="WenQuanYi Zen Hei"/>
        <family val="2"/>
      </rPr>
      <t xml:space="preserve">・法定福利費の削減は含めず、電気代は定格出力</t>
    </r>
    <r>
      <rPr>
        <sz val="9"/>
        <color rgb="FF000000"/>
        <rFont val="Meiryo UI"/>
        <family val="0"/>
        <charset val="1"/>
      </rPr>
      <t xml:space="preserve">×</t>
    </r>
    <r>
      <rPr>
        <sz val="9"/>
        <color rgb="FF000000"/>
        <rFont val="WenQuanYi Zen Hei"/>
        <family val="2"/>
      </rPr>
      <t xml:space="preserve">通電時間で計上し、保守的に試算しています。</t>
    </r>
  </si>
  <si>
    <r>
      <rPr>
        <sz val="9"/>
        <color rgb="FF000000"/>
        <rFont val="WenQuanYi Zen Hei"/>
        <family val="2"/>
      </rPr>
      <t xml:space="preserve">・予算額は「経広</t>
    </r>
    <r>
      <rPr>
        <sz val="9"/>
        <color rgb="FF000000"/>
        <rFont val="Meiryo UI"/>
        <family val="0"/>
        <charset val="1"/>
      </rPr>
      <t xml:space="preserve">_</t>
    </r>
    <r>
      <rPr>
        <sz val="9"/>
        <color rgb="FF000000"/>
        <rFont val="WenQuanYi Zen Hei"/>
        <family val="2"/>
      </rPr>
      <t xml:space="preserve">製造</t>
    </r>
    <r>
      <rPr>
        <sz val="9"/>
        <color rgb="FF000000"/>
        <rFont val="Meiryo UI"/>
        <family val="0"/>
        <charset val="1"/>
      </rPr>
      <t xml:space="preserve">PL_17</t>
    </r>
    <r>
      <rPr>
        <sz val="9"/>
        <color rgb="FF000000"/>
        <rFont val="WenQuanYi Zen Hei"/>
        <family val="2"/>
      </rPr>
      <t xml:space="preserve">通期予算</t>
    </r>
    <r>
      <rPr>
        <sz val="9"/>
        <color rgb="FF000000"/>
        <rFont val="Meiryo UI"/>
        <family val="0"/>
        <charset val="1"/>
      </rPr>
      <t xml:space="preserve">_2026.0618up </t>
    </r>
    <r>
      <rPr>
        <sz val="9"/>
        <color rgb="FF000000"/>
        <rFont val="WenQuanYi Zen Hei"/>
        <family val="2"/>
      </rPr>
      <t xml:space="preserve">エリア人件費修正</t>
    </r>
    <r>
      <rPr>
        <sz val="9"/>
        <color rgb="FF000000"/>
        <rFont val="Meiryo UI"/>
        <family val="0"/>
        <charset val="1"/>
      </rPr>
      <t xml:space="preserve">.xls</t>
    </r>
    <r>
      <rPr>
        <sz val="9"/>
        <color rgb="FF000000"/>
        <rFont val="WenQuanYi Zen Hei"/>
        <family val="2"/>
      </rPr>
      <t xml:space="preserve">」のライン月別</t>
    </r>
    <r>
      <rPr>
        <sz val="9"/>
        <color rgb="FF000000"/>
        <rFont val="Meiryo UI"/>
        <family val="0"/>
        <charset val="1"/>
      </rPr>
      <t xml:space="preserve">PL</t>
    </r>
    <r>
      <rPr>
        <sz val="9"/>
        <color rgb="FF000000"/>
        <rFont val="WenQuanYi Zen Hei"/>
        <family val="2"/>
      </rPr>
      <t xml:space="preserve">（白鳥惣菜）から転記しています。</t>
    </r>
  </si>
  <si>
    <r>
      <rPr>
        <sz val="9"/>
        <color rgb="FF000000"/>
        <rFont val="WenQuanYi Zen Hei"/>
        <family val="2"/>
      </rPr>
      <t xml:space="preserve">・電気・付帯工事費</t>
    </r>
    <r>
      <rPr>
        <sz val="9"/>
        <color rgb="FF000000"/>
        <rFont val="Meiryo UI"/>
        <family val="0"/>
        <charset val="1"/>
      </rPr>
      <t xml:space="preserve">50</t>
    </r>
    <r>
      <rPr>
        <sz val="9"/>
        <color rgb="FF000000"/>
        <rFont val="WenQuanYi Zen Hei"/>
        <family val="2"/>
      </rPr>
      <t xml:space="preserve">万円は機械の付随費用として取得価額に含め、機械と同じ</t>
    </r>
    <r>
      <rPr>
        <sz val="9"/>
        <color rgb="FF000000"/>
        <rFont val="Meiryo UI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年で償却（区分</t>
    </r>
    <r>
      <rPr>
        <sz val="9"/>
        <color rgb="FF000000"/>
        <rFont val="Meiryo UI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）。変更は「前提条件」下部で入力すると全シートに反映されます。</t>
    </r>
  </si>
  <si>
    <r>
      <rPr>
        <b val="true"/>
        <sz val="11"/>
        <color rgb="FF1F3864"/>
        <rFont val="WenQuanYi Zen Hei"/>
        <family val="2"/>
      </rPr>
      <t xml:space="preserve">■ 電気・付帯工事費が発生した場合の</t>
    </r>
    <r>
      <rPr>
        <b val="true"/>
        <sz val="11"/>
        <color rgb="FF1F3864"/>
        <rFont val="Meiryo UI"/>
        <family val="0"/>
        <charset val="1"/>
      </rPr>
      <t xml:space="preserve">PL</t>
    </r>
    <r>
      <rPr>
        <b val="true"/>
        <sz val="11"/>
        <color rgb="FF1F3864"/>
        <rFont val="WenQuanYi Zen Hei"/>
        <family val="2"/>
      </rPr>
      <t xml:space="preserve">影響（試算）</t>
    </r>
  </si>
  <si>
    <r>
      <rPr>
        <sz val="9"/>
        <color rgb="FF000000"/>
        <rFont val="WenQuanYi Zen Hei"/>
        <family val="2"/>
      </rPr>
      <t xml:space="preserve">電気・付帯工事なしの場合の予算差（円）　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月：</t>
    </r>
  </si>
  <si>
    <t xml:space="preserve">下期計：</t>
  </si>
  <si>
    <r>
      <rPr>
        <sz val="9"/>
        <color rgb="FF000000"/>
        <rFont val="Meiryo UI"/>
        <family val="0"/>
        <charset val="1"/>
      </rPr>
      <t xml:space="preserve">48</t>
    </r>
    <r>
      <rPr>
        <sz val="9"/>
        <color rgb="FF000000"/>
        <rFont val="WenQuanYi Zen Hei"/>
        <family val="2"/>
      </rPr>
      <t xml:space="preserve">期の月数：</t>
    </r>
  </si>
  <si>
    <t xml:space="preserve">電気・付帯工事費（円）
※青字は変更可</t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</si>
  <si>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1 </t>
    </r>
    <r>
      <rPr>
        <b val="true"/>
        <sz val="10"/>
        <color rgb="FFFFFFFF"/>
        <rFont val="WenQuanYi Zen Hei"/>
        <family val="2"/>
      </rPr>
      <t xml:space="preserve">機械に含める
月額償却増</t>
    </r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</si>
  <si>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1
2</t>
    </r>
    <r>
      <rPr>
        <b val="true"/>
        <sz val="10"/>
        <color rgb="FFFFFFFF"/>
        <rFont val="WenQuanYi Zen Hei"/>
        <family val="2"/>
      </rPr>
      <t xml:space="preserve">月 予算差</t>
    </r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</si>
  <si>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1
</t>
    </r>
    <r>
      <rPr>
        <b val="true"/>
        <sz val="10"/>
        <color rgb="FFFFFFFF"/>
        <rFont val="WenQuanYi Zen Hei"/>
        <family val="2"/>
      </rPr>
      <t xml:space="preserve">下期計 予算差</t>
    </r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</si>
  <si>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2 </t>
    </r>
    <r>
      <rPr>
        <b val="true"/>
        <sz val="10"/>
        <color rgb="FFFFFFFF"/>
        <rFont val="WenQuanYi Zen Hei"/>
        <family val="2"/>
      </rPr>
      <t xml:space="preserve">建物附属設備
月額償却増</t>
    </r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</si>
  <si>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2
</t>
    </r>
    <r>
      <rPr>
        <b val="true"/>
        <sz val="10"/>
        <color rgb="FFFFFFFF"/>
        <rFont val="WenQuanYi Zen Hei"/>
        <family val="2"/>
      </rPr>
      <t xml:space="preserve">下期計 予算差</t>
    </r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</si>
  <si>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3 </t>
    </r>
    <r>
      <rPr>
        <b val="true"/>
        <sz val="10"/>
        <color rgb="FFFFFFFF"/>
        <rFont val="WenQuanYi Zen Hei"/>
        <family val="2"/>
      </rPr>
      <t xml:space="preserve">一括費用
</t>
    </r>
    <r>
      <rPr>
        <b val="true"/>
        <sz val="10"/>
        <color rgb="FFFFFFFF"/>
        <rFont val="Meiryo U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 予算差</t>
    </r>
  </si>
  <si>
    <r>
      <rPr>
        <b val="true"/>
        <sz val="10"/>
        <color rgb="FFFFFFFF"/>
        <rFont val="WenQuanYi Zen Hei"/>
        <family val="2"/>
      </rPr>
      <t xml:space="preserve">区分</t>
    </r>
    <r>
      <rPr>
        <b val="true"/>
        <sz val="10"/>
        <color rgb="FFFFFFFF"/>
        <rFont val="Meiryo UI"/>
        <family val="0"/>
        <charset val="1"/>
      </rPr>
      <t xml:space="preserve">3
</t>
    </r>
    <r>
      <rPr>
        <b val="true"/>
        <sz val="10"/>
        <color rgb="FFFFFFFF"/>
        <rFont val="WenQuanYi Zen Hei"/>
        <family val="2"/>
      </rPr>
      <t xml:space="preserve">下期計 予算差</t>
    </r>
  </si>
  <si>
    <t xml:space="preserve">回収月数
（目安）</t>
  </si>
  <si>
    <t xml:space="preserve">・予算差＝導入後の経常利益 − 予算（プラスなら予算超）。赤色＝その月（期間）は予算を下回る。</t>
  </si>
  <si>
    <r>
      <rPr>
        <sz val="9"/>
        <color rgb="FF000000"/>
        <rFont val="WenQuanYi Zen Hei"/>
        <family val="2"/>
      </rPr>
      <t xml:space="preserve">・区分</t>
    </r>
    <r>
      <rPr>
        <sz val="9"/>
        <color rgb="FF000000"/>
        <rFont val="Meiryo UI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は支払いが一括でも</t>
    </r>
    <r>
      <rPr>
        <sz val="9"/>
        <color rgb="FF000000"/>
        <rFont val="Meiryo UI"/>
        <family val="0"/>
        <charset val="1"/>
      </rPr>
      <t xml:space="preserve">PL</t>
    </r>
    <r>
      <rPr>
        <sz val="9"/>
        <color rgb="FF000000"/>
        <rFont val="WenQuanYi Zen Hei"/>
        <family val="2"/>
      </rPr>
      <t xml:space="preserve">は月割りの減価償却。区分</t>
    </r>
    <r>
      <rPr>
        <sz val="9"/>
        <color rgb="FF000000"/>
        <rFont val="Meiryo UI"/>
        <family val="0"/>
        <charset val="1"/>
      </rPr>
      <t xml:space="preserve">3</t>
    </r>
    <r>
      <rPr>
        <sz val="9"/>
        <color rgb="FF000000"/>
        <rFont val="WenQuanYi Zen Hei"/>
        <family val="2"/>
      </rPr>
      <t xml:space="preserve">は導入月（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月）に全額を修繕費で計上するため、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月単月が予算を下回りやすい。</t>
    </r>
  </si>
  <si>
    <r>
      <rPr>
        <sz val="9"/>
        <color rgb="FF000000"/>
        <rFont val="WenQuanYi Zen Hei"/>
        <family val="2"/>
      </rPr>
      <t xml:space="preserve">・実際の工事費は「前提条件」の電気・付帯工事費・処理区分に入力すると、</t>
    </r>
    <r>
      <rPr>
        <sz val="9"/>
        <color rgb="FF000000"/>
        <rFont val="Meiryo UI"/>
        <family val="0"/>
        <charset val="1"/>
      </rPr>
      <t xml:space="preserve">PL</t>
    </r>
    <r>
      <rPr>
        <sz val="9"/>
        <color rgb="FF000000"/>
        <rFont val="WenQuanYi Zen Hei"/>
        <family val="2"/>
      </rPr>
      <t xml:space="preserve">・投資回収の各シートに反映されます。</t>
    </r>
  </si>
  <si>
    <t xml:space="preserve">説明用要約（製造部長向け・社長向け）</t>
  </si>
  <si>
    <r>
      <rPr>
        <sz val="9"/>
        <color rgb="FF808080"/>
        <rFont val="WenQuanYi Zen Hei"/>
        <family val="2"/>
      </rPr>
      <t xml:space="preserve">数値は各計算シートと連動しています。印刷する場合は「印刷用</t>
    </r>
    <r>
      <rPr>
        <sz val="9"/>
        <color rgb="FF808080"/>
        <rFont val="Meiryo UI"/>
        <family val="0"/>
        <charset val="1"/>
      </rPr>
      <t xml:space="preserve">_</t>
    </r>
    <r>
      <rPr>
        <sz val="9"/>
        <color rgb="FF808080"/>
        <rFont val="WenQuanYi Zen Hei"/>
        <family val="2"/>
      </rPr>
      <t xml:space="preserve">製造部長」「印刷用</t>
    </r>
    <r>
      <rPr>
        <sz val="9"/>
        <color rgb="FF808080"/>
        <rFont val="Meiryo UI"/>
        <family val="0"/>
        <charset val="1"/>
      </rPr>
      <t xml:space="preserve">_</t>
    </r>
    <r>
      <rPr>
        <sz val="9"/>
        <color rgb="FF808080"/>
        <rFont val="WenQuanYi Zen Hei"/>
        <family val="2"/>
      </rPr>
      <t xml:space="preserve">社長」シート（</t>
    </r>
    <r>
      <rPr>
        <sz val="9"/>
        <color rgb="FF808080"/>
        <rFont val="Meiryo UI"/>
        <family val="0"/>
        <charset val="1"/>
      </rPr>
      <t xml:space="preserve">A4</t>
    </r>
    <r>
      <rPr>
        <sz val="9"/>
        <color rgb="FF808080"/>
        <rFont val="WenQuanYi Zen Hei"/>
        <family val="2"/>
      </rPr>
      <t xml:space="preserve">・</t>
    </r>
    <r>
      <rPr>
        <sz val="9"/>
        <color rgb="FF808080"/>
        <rFont val="Meiryo UI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枚）を使用してください。</t>
    </r>
  </si>
  <si>
    <t xml:space="preserve">■ 製造部長向け（予算修正が不要であることの説明）</t>
  </si>
  <si>
    <t xml:space="preserve">■ 社長向け（投資判断）</t>
  </si>
  <si>
    <r>
      <rPr>
        <sz val="10"/>
        <color rgb="FF000000"/>
        <rFont val="WenQuanYi Zen Hei"/>
        <family val="2"/>
      </rPr>
      <t xml:space="preserve">・金額外の効果：計量の抜き打ち化、クリームロス削減、衛生面の向上、生産能力 約</t>
    </r>
    <r>
      <rPr>
        <sz val="10"/>
        <color rgb="FF000000"/>
        <rFont val="Meiryo UI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個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時の増産余力</t>
    </r>
  </si>
  <si>
    <t xml:space="preserve">・前提とリスク：投資額は暫定（見積確定後に更新）。人件費削減はシフト調整の実行が前提。法定福利費の削減は含めず控えめに試算。</t>
  </si>
  <si>
    <t xml:space="preserve">充填機導入　投資判断資料（白鳥惣菜）</t>
  </si>
  <si>
    <r>
      <rPr>
        <sz val="10"/>
        <color rgb="FF808080"/>
        <rFont val="Meiryo UI"/>
        <family val="0"/>
        <charset val="1"/>
      </rPr>
      <t xml:space="preserve">48</t>
    </r>
    <r>
      <rPr>
        <sz val="10"/>
        <color rgb="FF808080"/>
        <rFont val="WenQuanYi Zen Hei"/>
        <family val="2"/>
      </rPr>
      <t xml:space="preserve">期（製造</t>
    </r>
    <r>
      <rPr>
        <sz val="10"/>
        <color rgb="FF808080"/>
        <rFont val="Meiryo UI"/>
        <family val="0"/>
        <charset val="1"/>
      </rPr>
      <t xml:space="preserve">PL 17</t>
    </r>
    <r>
      <rPr>
        <sz val="10"/>
        <color rgb="FF808080"/>
        <rFont val="WenQuanYi Zen Hei"/>
        <family val="2"/>
      </rPr>
      <t xml:space="preserve">期）下期・</t>
    </r>
    <r>
      <rPr>
        <sz val="10"/>
        <color rgb="FF808080"/>
        <rFont val="Meiryo UI"/>
        <family val="0"/>
        <charset val="1"/>
      </rPr>
      <t xml:space="preserve">2027</t>
    </r>
    <r>
      <rPr>
        <sz val="10"/>
        <color rgb="FF808080"/>
        <rFont val="WenQuanYi Zen Hei"/>
        <family val="2"/>
      </rPr>
      <t xml:space="preserve">年</t>
    </r>
    <r>
      <rPr>
        <sz val="10"/>
        <color rgb="FF808080"/>
        <rFont val="Meiryo UI"/>
        <family val="0"/>
        <charset val="1"/>
      </rPr>
      <t xml:space="preserve">2</t>
    </r>
    <r>
      <rPr>
        <sz val="10"/>
        <color rgb="FF808080"/>
        <rFont val="WenQuanYi Zen Hei"/>
        <family val="2"/>
      </rPr>
      <t xml:space="preserve">月</t>
    </r>
    <r>
      <rPr>
        <sz val="10"/>
        <color rgb="FF808080"/>
        <rFont val="Meiryo UI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日導入　／　減価償却</t>
    </r>
    <r>
      <rPr>
        <sz val="10"/>
        <color rgb="FF808080"/>
        <rFont val="Meiryo UI"/>
        <family val="0"/>
        <charset val="1"/>
      </rPr>
      <t xml:space="preserve">10</t>
    </r>
    <r>
      <rPr>
        <sz val="10"/>
        <color rgb="FF808080"/>
        <rFont val="WenQuanYi Zen Hei"/>
        <family val="2"/>
      </rPr>
      <t xml:space="preserve">年・投資回収</t>
    </r>
    <r>
      <rPr>
        <sz val="10"/>
        <color rgb="FF808080"/>
        <rFont val="Meiryo UI"/>
        <family val="0"/>
        <charset val="1"/>
      </rPr>
      <t xml:space="preserve">5</t>
    </r>
    <r>
      <rPr>
        <sz val="10"/>
        <color rgb="FF808080"/>
        <rFont val="WenQuanYi Zen Hei"/>
        <family val="2"/>
      </rPr>
      <t xml:space="preserve">年以内の基準</t>
    </r>
  </si>
  <si>
    <t xml:space="preserve">総投資額</t>
  </si>
  <si>
    <t xml:space="preserve">投資回収</t>
  </si>
  <si>
    <t xml:space="preserve">月の利益改善（償却後）</t>
  </si>
  <si>
    <r>
      <rPr>
        <b val="true"/>
        <sz val="9"/>
        <color rgb="FFFFFFFF"/>
        <rFont val="Meiryo UI"/>
        <family val="0"/>
        <charset val="1"/>
      </rPr>
      <t xml:space="preserve">48</t>
    </r>
    <r>
      <rPr>
        <b val="true"/>
        <sz val="9"/>
        <color rgb="FFFFFFFF"/>
        <rFont val="WenQuanYi Zen Hei"/>
        <family val="2"/>
      </rPr>
      <t xml:space="preserve">期下期 予算比</t>
    </r>
  </si>
  <si>
    <t xml:space="preserve">■ 投資の内容</t>
  </si>
  <si>
    <r>
      <rPr>
        <sz val="10"/>
        <color rgb="FF000000"/>
        <rFont val="WenQuanYi Zen Hei"/>
        <family val="2"/>
      </rPr>
      <t xml:space="preserve">・対象商品：カスタード＆ホイップシュー、ふんわりバナナロール（生産能力 約</t>
    </r>
    <r>
      <rPr>
        <sz val="10"/>
        <color rgb="FF000000"/>
        <rFont val="Meiryo UI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個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時）</t>
    </r>
  </si>
  <si>
    <t xml:space="preserve">■ 効果（月平均）</t>
  </si>
  <si>
    <t xml:space="preserve">項目</t>
  </si>
  <si>
    <r>
      <rPr>
        <b val="true"/>
        <sz val="10"/>
        <color rgb="FFFFFFFF"/>
        <rFont val="WenQuanYi Zen Hei"/>
        <family val="2"/>
      </rPr>
      <t xml:space="preserve">金額（円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月）</t>
    </r>
  </si>
  <si>
    <t xml:space="preserve">内容</t>
  </si>
  <si>
    <t xml:space="preserve">作業人時の削減</t>
  </si>
  <si>
    <t xml:space="preserve">絞り袋の削減</t>
  </si>
  <si>
    <t xml:space="preserve">手詰め工程の廃止</t>
  </si>
  <si>
    <t xml:space="preserve">電気・洗浄・保守部品</t>
  </si>
  <si>
    <t xml:space="preserve">ランニングコスト</t>
  </si>
  <si>
    <t xml:space="preserve">投資効果（償却前）</t>
  </si>
  <si>
    <t xml:space="preserve">キャッシュの手残り＝投資回収の原資</t>
  </si>
  <si>
    <t xml:space="preserve">減価償却費</t>
  </si>
  <si>
    <t xml:space="preserve">利益改善（償却後）</t>
  </si>
  <si>
    <t xml:space="preserve">経常利益への影響</t>
  </si>
  <si>
    <r>
      <rPr>
        <b val="true"/>
        <sz val="11"/>
        <color rgb="FF1F3864"/>
        <rFont val="Meiryo UI"/>
        <family val="0"/>
        <charset val="1"/>
      </rPr>
      <t xml:space="preserve">■ 48</t>
    </r>
    <r>
      <rPr>
        <b val="true"/>
        <sz val="11"/>
        <color rgb="FF1F3864"/>
        <rFont val="WenQuanYi Zen Hei"/>
        <family val="2"/>
      </rPr>
      <t xml:space="preserve">期 下期の経常利益（白鳥惣菜</t>
    </r>
    <r>
      <rPr>
        <b val="true"/>
        <sz val="11"/>
        <color rgb="FF1F3864"/>
        <rFont val="Meiryo UI"/>
        <family val="0"/>
        <charset val="1"/>
      </rPr>
      <t xml:space="preserve">PL</t>
    </r>
    <r>
      <rPr>
        <b val="true"/>
        <sz val="11"/>
        <color rgb="FF1F3864"/>
        <rFont val="WenQuanYi Zen Hei"/>
        <family val="2"/>
      </rPr>
      <t xml:space="preserve">）</t>
    </r>
  </si>
  <si>
    <t xml:space="preserve">経常利益（千円）</t>
  </si>
  <si>
    <r>
      <rPr>
        <b val="true"/>
        <sz val="10"/>
        <color rgb="FFFFFFFF"/>
        <rFont val="WenQuanYi Zen Hei"/>
        <family val="2"/>
      </rPr>
      <t xml:space="preserve">下期計</t>
    </r>
    <r>
      <rPr>
        <b val="true"/>
        <sz val="10"/>
        <color rgb="FFFFFFFF"/>
        <rFont val="Meiryo UI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</si>
  <si>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差額（導入後−予算）</t>
  </si>
  <si>
    <t xml:space="preserve">■ 判断材料</t>
  </si>
  <si>
    <t xml:space="preserve">・金額に入れていない効果：計量の抜き打ち化、クリームロス削減、衛生面の向上、増産余力</t>
  </si>
  <si>
    <t xml:space="preserve">■ 前提とリスク</t>
  </si>
  <si>
    <r>
      <rPr>
        <sz val="9"/>
        <color rgb="FF000000"/>
        <rFont val="WenQuanYi Zen Hei"/>
        <family val="2"/>
      </rPr>
      <t xml:space="preserve">・投資額</t>
    </r>
    <r>
      <rPr>
        <sz val="9"/>
        <color rgb="FF000000"/>
        <rFont val="Meiryo UI"/>
        <family val="0"/>
        <charset val="1"/>
      </rPr>
      <t xml:space="preserve">450</t>
    </r>
    <r>
      <rPr>
        <sz val="9"/>
        <color rgb="FF000000"/>
        <rFont val="WenQuanYi Zen Hei"/>
        <family val="2"/>
      </rPr>
      <t xml:space="preserve">万円は暫定。見積確定後に更新します。</t>
    </r>
  </si>
  <si>
    <t xml:space="preserve">・人件費削減は、削減時間分のシフト調整を実行することが前提です。</t>
  </si>
  <si>
    <t xml:space="preserve">充填機導入について（製造部長ご説明資料）</t>
  </si>
  <si>
    <r>
      <rPr>
        <sz val="10"/>
        <color rgb="FF808080"/>
        <rFont val="WenQuanYi Zen Hei"/>
        <family val="2"/>
      </rPr>
      <t xml:space="preserve">白鳥惣菜　</t>
    </r>
    <r>
      <rPr>
        <sz val="10"/>
        <color rgb="FF808080"/>
        <rFont val="Meiryo UI"/>
        <family val="0"/>
        <charset val="1"/>
      </rPr>
      <t xml:space="preserve">48</t>
    </r>
    <r>
      <rPr>
        <sz val="10"/>
        <color rgb="FF808080"/>
        <rFont val="WenQuanYi Zen Hei"/>
        <family val="2"/>
      </rPr>
      <t xml:space="preserve">期（製造</t>
    </r>
    <r>
      <rPr>
        <sz val="10"/>
        <color rgb="FF808080"/>
        <rFont val="Meiryo UI"/>
        <family val="0"/>
        <charset val="1"/>
      </rPr>
      <t xml:space="preserve">PL 17</t>
    </r>
    <r>
      <rPr>
        <sz val="10"/>
        <color rgb="FF808080"/>
        <rFont val="WenQuanYi Zen Hei"/>
        <family val="2"/>
      </rPr>
      <t xml:space="preserve">期）下期・</t>
    </r>
    <r>
      <rPr>
        <sz val="10"/>
        <color rgb="FF808080"/>
        <rFont val="Meiryo UI"/>
        <family val="0"/>
        <charset val="1"/>
      </rPr>
      <t xml:space="preserve">2027</t>
    </r>
    <r>
      <rPr>
        <sz val="10"/>
        <color rgb="FF808080"/>
        <rFont val="WenQuanYi Zen Hei"/>
        <family val="2"/>
      </rPr>
      <t xml:space="preserve">年</t>
    </r>
    <r>
      <rPr>
        <sz val="10"/>
        <color rgb="FF808080"/>
        <rFont val="Meiryo UI"/>
        <family val="0"/>
        <charset val="1"/>
      </rPr>
      <t xml:space="preserve">2</t>
    </r>
    <r>
      <rPr>
        <sz val="10"/>
        <color rgb="FF808080"/>
        <rFont val="WenQuanYi Zen Hei"/>
        <family val="2"/>
      </rPr>
      <t xml:space="preserve">月</t>
    </r>
    <r>
      <rPr>
        <sz val="10"/>
        <color rgb="FF808080"/>
        <rFont val="Meiryo UI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日導入</t>
    </r>
  </si>
  <si>
    <t xml:space="preserve">■ お願いしたいこと</t>
  </si>
  <si>
    <t xml:space="preserve">・下期の予算額はそのままで構いません（予算修正のお願いではありません）</t>
  </si>
  <si>
    <t xml:space="preserve">■ 予算を下回らない理由（月平均）</t>
  </si>
  <si>
    <t xml:space="preserve">減る費用：雑給（パート）</t>
  </si>
  <si>
    <t xml:space="preserve">減る費用：絞り袋</t>
  </si>
  <si>
    <t xml:space="preserve">手詰めが不要になる</t>
  </si>
  <si>
    <t xml:space="preserve">増える費用：電気・洗浄・保守部品</t>
  </si>
  <si>
    <r>
      <rPr>
        <sz val="9"/>
        <color rgb="FF000000"/>
        <rFont val="Meiryo UI"/>
        <family val="0"/>
        <charset val="1"/>
      </rPr>
      <t xml:space="preserve">0.4kW×2</t>
    </r>
    <r>
      <rPr>
        <sz val="9"/>
        <color rgb="FF000000"/>
        <rFont val="WenQuanYi Zen Hei"/>
        <family val="2"/>
      </rPr>
      <t xml:space="preserve">台の電気代、洗浄水・洗剤、パッキン等</t>
    </r>
  </si>
  <si>
    <t xml:space="preserve">増える費用：減価償却費</t>
  </si>
  <si>
    <t xml:space="preserve">差し引き（利益が増える額）</t>
  </si>
  <si>
    <t xml:space="preserve">毎月この金額だけ予算より利益が増える</t>
  </si>
  <si>
    <r>
      <rPr>
        <b val="true"/>
        <sz val="11"/>
        <color rgb="FF1F3864"/>
        <rFont val="WenQuanYi Zen Hei"/>
        <family val="2"/>
      </rPr>
      <t xml:space="preserve">■ 月別の経常利益（白鳥惣菜</t>
    </r>
    <r>
      <rPr>
        <b val="true"/>
        <sz val="11"/>
        <color rgb="FF1F3864"/>
        <rFont val="Meiryo UI"/>
        <family val="0"/>
        <charset val="1"/>
      </rPr>
      <t xml:space="preserve">PL</t>
    </r>
    <r>
      <rPr>
        <b val="true"/>
        <sz val="11"/>
        <color rgb="FF1F3864"/>
        <rFont val="WenQuanYi Zen Hei"/>
        <family val="2"/>
      </rPr>
      <t xml:space="preserve">）</t>
    </r>
  </si>
  <si>
    <r>
      <rPr>
        <sz val="9"/>
        <color rgb="FF808080"/>
        <rFont val="Meiryo UI"/>
        <family val="0"/>
        <charset val="1"/>
      </rPr>
      <t xml:space="preserve">※2</t>
    </r>
    <r>
      <rPr>
        <sz val="9"/>
        <color rgb="FF808080"/>
        <rFont val="WenQuanYi Zen Hei"/>
        <family val="2"/>
      </rPr>
      <t xml:space="preserve">月・</t>
    </r>
    <r>
      <rPr>
        <sz val="9"/>
        <color rgb="FF808080"/>
        <rFont val="Meiryo UI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月は元々予算上の赤字月ですが、導入後は赤字が縮小します。</t>
    </r>
  </si>
  <si>
    <t xml:space="preserve">■ 現場で変わること</t>
  </si>
  <si>
    <t xml:space="preserve">・なくなる作業：絞り袋への手詰め（カスタード・生クリーム）、シュー生地内の壁崩し</t>
  </si>
  <si>
    <r>
      <rPr>
        <sz val="10"/>
        <color rgb="FF000000"/>
        <rFont val="WenQuanYi Zen Hei"/>
        <family val="2"/>
      </rPr>
      <t xml:space="preserve">・増える作業：充填機の組立（</t>
    </r>
    <r>
      <rPr>
        <sz val="10"/>
        <color rgb="FF000000"/>
        <rFont val="Meiryo UI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Meiryo UI"/>
        <family val="0"/>
        <charset val="1"/>
      </rPr>
      <t xml:space="preserve">×20</t>
    </r>
    <r>
      <rPr>
        <sz val="10"/>
        <color rgb="FF000000"/>
        <rFont val="WenQuanYi Zen Hei"/>
        <family val="2"/>
      </rPr>
      <t xml:space="preserve">分）、充填機の洗浄（</t>
    </r>
    <r>
      <rPr>
        <sz val="10"/>
        <color rgb="FF000000"/>
        <rFont val="Meiryo UI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Meiryo UI"/>
        <family val="0"/>
        <charset val="1"/>
      </rPr>
      <t xml:space="preserve">×20</t>
    </r>
    <r>
      <rPr>
        <sz val="10"/>
        <color rgb="FF000000"/>
        <rFont val="WenQuanYi Zen Hei"/>
        <family val="2"/>
      </rPr>
      <t xml:space="preserve">分）</t>
    </r>
  </si>
  <si>
    <r>
      <rPr>
        <sz val="10"/>
        <color rgb="FF000000"/>
        <rFont val="WenQuanYi Zen Hei"/>
        <family val="2"/>
      </rPr>
      <t xml:space="preserve">・クリームはホッパー（</t>
    </r>
    <r>
      <rPr>
        <sz val="10"/>
        <color rgb="FF000000"/>
        <rFont val="Meiryo UI"/>
        <family val="0"/>
        <charset val="1"/>
      </rPr>
      <t xml:space="preserve">10ℓ</t>
    </r>
    <r>
      <rPr>
        <sz val="10"/>
        <color rgb="FF000000"/>
        <rFont val="WenQuanYi Zen Hei"/>
        <family val="2"/>
      </rPr>
      <t xml:space="preserve">）に一括投入。充填重量が安定し、計量は全量から抜き打ちへ</t>
    </r>
  </si>
  <si>
    <t xml:space="preserve">■ 効果を出すための条件</t>
  </si>
  <si>
    <t xml:space="preserve">前提条件（入力シート）</t>
  </si>
  <si>
    <t xml:space="preserve">青字・黄色セル＝入力値（変更すると全シートが再計算されます）　黒字＝計算式　緑字＝他シート参照</t>
  </si>
  <si>
    <t xml:space="preserve">■ 投資条件</t>
  </si>
  <si>
    <r>
      <rPr>
        <sz val="10"/>
        <color rgb="FF000000"/>
        <rFont val="WenQuanYi Zen Hei"/>
        <family val="2"/>
      </rPr>
      <t xml:space="preserve">充填機本体（</t>
    </r>
    <r>
      <rPr>
        <sz val="10"/>
        <color rgb="FF000000"/>
        <rFont val="Meiryo UI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台・暫定）</t>
    </r>
  </si>
  <si>
    <t xml:space="preserve">円</t>
  </si>
  <si>
    <r>
      <rPr>
        <sz val="9"/>
        <color rgb="FF808080"/>
        <rFont val="WenQuanYi Zen Hei"/>
        <family val="2"/>
      </rPr>
      <t xml:space="preserve">出典：現場資料「</t>
    </r>
    <r>
      <rPr>
        <sz val="9"/>
        <color rgb="FF808080"/>
        <rFont val="Meiryo UI"/>
        <family val="0"/>
        <charset val="1"/>
      </rPr>
      <t xml:space="preserve">450</t>
    </r>
    <r>
      <rPr>
        <sz val="9"/>
        <color rgb="FF808080"/>
        <rFont val="WenQuanYi Zen Hei"/>
        <family val="2"/>
      </rPr>
      <t xml:space="preserve">万（暫定）」。見積確定後に更新</t>
    </r>
  </si>
  <si>
    <t xml:space="preserve">台</t>
  </si>
  <si>
    <r>
      <rPr>
        <sz val="9"/>
        <color rgb="FF808080"/>
        <rFont val="WenQuanYi Zen Hei"/>
        <family val="2"/>
      </rPr>
      <t xml:space="preserve">出典：現場資料「充填機・・・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台」</t>
    </r>
  </si>
  <si>
    <t xml:space="preserve">電源・配線、搬入・設置・試運転をまとめて下部「■ 電気・付帯工事費」で入力</t>
  </si>
  <si>
    <t xml:space="preserve">機械本体の取得価額（償却対象）</t>
  </si>
  <si>
    <t xml:space="preserve">電気・付帯工事分の償却は下部の処理区分に従い別計算</t>
  </si>
  <si>
    <t xml:space="preserve">耐用年数（減価償却・定額法）</t>
  </si>
  <si>
    <t xml:space="preserve">年</t>
  </si>
  <si>
    <r>
      <rPr>
        <sz val="9"/>
        <color rgb="FF808080"/>
        <rFont val="WenQuanYi Zen Hei"/>
        <family val="2"/>
      </rPr>
      <t xml:space="preserve">指示値：</t>
    </r>
    <r>
      <rPr>
        <sz val="9"/>
        <color rgb="FF808080"/>
        <rFont val="Meiryo UI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年</t>
    </r>
  </si>
  <si>
    <t xml:space="preserve">月額減価償却費</t>
  </si>
  <si>
    <r>
      <rPr>
        <sz val="10"/>
        <color rgb="FF808080"/>
        <rFont val="WenQuanYi Zen Hei"/>
        <family val="2"/>
      </rPr>
      <t xml:space="preserve">円</t>
    </r>
    <r>
      <rPr>
        <sz val="10"/>
        <color rgb="FF808080"/>
        <rFont val="Meiryo UI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月</t>
    </r>
  </si>
  <si>
    <r>
      <rPr>
        <sz val="9"/>
        <color rgb="FF808080"/>
        <rFont val="WenQuanYi Zen Hei"/>
        <family val="2"/>
      </rPr>
      <t xml:space="preserve">取得価額</t>
    </r>
    <r>
      <rPr>
        <sz val="9"/>
        <color rgb="FF808080"/>
        <rFont val="Meiryo UI"/>
        <family val="0"/>
        <charset val="1"/>
      </rPr>
      <t xml:space="preserve">÷</t>
    </r>
    <r>
      <rPr>
        <sz val="9"/>
        <color rgb="FF808080"/>
        <rFont val="WenQuanYi Zen Hei"/>
        <family val="2"/>
      </rPr>
      <t xml:space="preserve">耐用年数</t>
    </r>
    <r>
      <rPr>
        <sz val="9"/>
        <color rgb="FF808080"/>
        <rFont val="Meiryo UI"/>
        <family val="0"/>
        <charset val="1"/>
      </rPr>
      <t xml:space="preserve">÷12</t>
    </r>
    <r>
      <rPr>
        <sz val="9"/>
        <color rgb="FF808080"/>
        <rFont val="WenQuanYi Zen Hei"/>
        <family val="2"/>
      </rPr>
      <t xml:space="preserve">（残存価額</t>
    </r>
    <r>
      <rPr>
        <sz val="9"/>
        <color rgb="FF808080"/>
        <rFont val="Meiryo UI"/>
        <family val="0"/>
        <charset val="1"/>
      </rPr>
      <t xml:space="preserve">0</t>
    </r>
    <r>
      <rPr>
        <sz val="9"/>
        <color rgb="FF808080"/>
        <rFont val="WenQuanYi Zen Hei"/>
        <family val="2"/>
      </rPr>
      <t xml:space="preserve">で計算）</t>
    </r>
  </si>
  <si>
    <t xml:space="preserve">導入日（事業供用開始）</t>
  </si>
  <si>
    <r>
      <rPr>
        <sz val="9"/>
        <color rgb="FF808080"/>
        <rFont val="Meiryo UI"/>
        <family val="0"/>
        <charset val="1"/>
      </rPr>
      <t xml:space="preserve">48</t>
    </r>
    <r>
      <rPr>
        <sz val="9"/>
        <color rgb="FF808080"/>
        <rFont val="WenQuanYi Zen Hei"/>
        <family val="2"/>
      </rPr>
      <t xml:space="preserve">期（製造</t>
    </r>
    <r>
      <rPr>
        <sz val="9"/>
        <color rgb="FF808080"/>
        <rFont val="Meiryo UI"/>
        <family val="0"/>
        <charset val="1"/>
      </rPr>
      <t xml:space="preserve">PL 17</t>
    </r>
    <r>
      <rPr>
        <sz val="9"/>
        <color rgb="FF808080"/>
        <rFont val="WenQuanYi Zen Hei"/>
        <family val="2"/>
      </rPr>
      <t xml:space="preserve">期）下期・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</t>
    </r>
    <r>
      <rPr>
        <sz val="9"/>
        <color rgb="FF808080"/>
        <rFont val="Meiryo UI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日導入</t>
    </r>
  </si>
  <si>
    <t xml:space="preserve">投資回収の目標</t>
  </si>
  <si>
    <t xml:space="preserve">年以内</t>
  </si>
  <si>
    <r>
      <rPr>
        <sz val="9"/>
        <color rgb="FF808080"/>
        <rFont val="WenQuanYi Zen Hei"/>
        <family val="2"/>
      </rPr>
      <t xml:space="preserve">指示値：</t>
    </r>
    <r>
      <rPr>
        <sz val="9"/>
        <color rgb="FF808080"/>
        <rFont val="Meiryo UI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年以内</t>
    </r>
  </si>
  <si>
    <t xml:space="preserve">総投資額（機械本体＋電気・付帯工事）→</t>
  </si>
  <si>
    <t xml:space="preserve">■ 機械仕様（カタログ値）</t>
  </si>
  <si>
    <t xml:space="preserve">電源</t>
  </si>
  <si>
    <r>
      <rPr>
        <sz val="10"/>
        <color rgb="FF000000"/>
        <rFont val="Meiryo UI"/>
        <family val="0"/>
        <charset val="1"/>
      </rPr>
      <t xml:space="preserve">AC200V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Meiryo UI"/>
        <family val="0"/>
        <charset val="1"/>
      </rPr>
      <t xml:space="preserve">0.4kW</t>
    </r>
    <r>
      <rPr>
        <sz val="10"/>
        <color rgb="FF000000"/>
        <rFont val="WenQuanYi Zen Hei"/>
        <family val="2"/>
      </rPr>
      <t xml:space="preserve">（サーボモーター使用）</t>
    </r>
  </si>
  <si>
    <t xml:space="preserve">ポンプ回転数</t>
  </si>
  <si>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 UI"/>
        <family val="0"/>
        <charset val="1"/>
      </rPr>
      <t xml:space="preserve">150rpm</t>
    </r>
  </si>
  <si>
    <t xml:space="preserve">ポンプ吐出量</t>
  </si>
  <si>
    <r>
      <rPr>
        <sz val="10"/>
        <color rgb="FF000000"/>
        <rFont val="Meiryo UI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 UI"/>
        <family val="0"/>
        <charset val="1"/>
      </rPr>
      <t xml:space="preserve">9,000cc/</t>
    </r>
    <r>
      <rPr>
        <sz val="10"/>
        <color rgb="FF000000"/>
        <rFont val="WenQuanYi Zen Hei"/>
        <family val="2"/>
      </rPr>
      <t xml:space="preserve">分</t>
    </r>
  </si>
  <si>
    <t xml:space="preserve">充填容量</t>
  </si>
  <si>
    <r>
      <rPr>
        <sz val="10"/>
        <color rgb="FF000000"/>
        <rFont val="Meiryo UI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 UI"/>
        <family val="0"/>
        <charset val="1"/>
      </rPr>
      <t xml:space="preserve">9,999cc/</t>
    </r>
    <r>
      <rPr>
        <sz val="10"/>
        <color rgb="FF000000"/>
        <rFont val="WenQuanYi Zen Hei"/>
        <family val="2"/>
      </rPr>
      <t xml:space="preserve">回</t>
    </r>
  </si>
  <si>
    <t xml:space="preserve">ホッパー容量</t>
  </si>
  <si>
    <r>
      <rPr>
        <sz val="10"/>
        <color rgb="FF000000"/>
        <rFont val="Meiryo UI"/>
        <family val="0"/>
        <charset val="1"/>
      </rPr>
      <t xml:space="preserve">15ℓ</t>
    </r>
    <r>
      <rPr>
        <sz val="10"/>
        <color rgb="FF000000"/>
        <rFont val="WenQuanYi Zen Hei"/>
        <family val="2"/>
      </rPr>
      <t xml:space="preserve">（標準）</t>
    </r>
  </si>
  <si>
    <t xml:space="preserve">総重量</t>
  </si>
  <si>
    <r>
      <rPr>
        <sz val="10"/>
        <color rgb="FF000000"/>
        <rFont val="Meiryo UI"/>
        <family val="0"/>
        <charset val="1"/>
      </rPr>
      <t xml:space="preserve">29kg</t>
    </r>
    <r>
      <rPr>
        <sz val="10"/>
        <color rgb="FF000000"/>
        <rFont val="WenQuanYi Zen Hei"/>
        <family val="2"/>
      </rPr>
      <t xml:space="preserve">（標準ポンプホッパー装着時）</t>
    </r>
  </si>
  <si>
    <t xml:space="preserve">生産能力</t>
  </si>
  <si>
    <r>
      <rPr>
        <sz val="10"/>
        <color rgb="FF000000"/>
        <rFont val="WenQuanYi Zen Hei"/>
        <family val="2"/>
      </rPr>
      <t xml:space="preserve">シュークリーム</t>
    </r>
    <r>
      <rPr>
        <sz val="10"/>
        <color rgb="FF000000"/>
        <rFont val="Meiryo UI"/>
        <family val="0"/>
        <charset val="1"/>
      </rPr>
      <t xml:space="preserve">50g</t>
    </r>
    <r>
      <rPr>
        <sz val="10"/>
        <color rgb="FF000000"/>
        <rFont val="WenQuanYi Zen Hei"/>
        <family val="2"/>
      </rPr>
      <t xml:space="preserve">注入時　</t>
    </r>
    <r>
      <rPr>
        <sz val="10"/>
        <color rgb="FF000000"/>
        <rFont val="Meiryo UI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口合計 約</t>
    </r>
    <r>
      <rPr>
        <sz val="10"/>
        <color rgb="FF000000"/>
        <rFont val="Meiryo UI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個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時</t>
    </r>
  </si>
  <si>
    <t xml:space="preserve">外形寸法</t>
  </si>
  <si>
    <r>
      <rPr>
        <sz val="10"/>
        <color rgb="FF000000"/>
        <rFont val="WenQuanYi Zen Hei"/>
        <family val="2"/>
      </rPr>
      <t xml:space="preserve">本体 </t>
    </r>
    <r>
      <rPr>
        <sz val="10"/>
        <color rgb="FF000000"/>
        <rFont val="Meiryo UI"/>
        <family val="0"/>
        <charset val="1"/>
      </rPr>
      <t xml:space="preserve">W350×D400×H265mm</t>
    </r>
    <r>
      <rPr>
        <sz val="10"/>
        <color rgb="FF000000"/>
        <rFont val="WenQuanYi Zen Hei"/>
        <family val="2"/>
      </rPr>
      <t xml:space="preserve">／ホッパー装着時 </t>
    </r>
    <r>
      <rPr>
        <sz val="10"/>
        <color rgb="FF000000"/>
        <rFont val="Meiryo UI"/>
        <family val="0"/>
        <charset val="1"/>
      </rPr>
      <t xml:space="preserve">H580mm</t>
    </r>
  </si>
  <si>
    <t xml:space="preserve">■ 単価・稼働条件</t>
  </si>
  <si>
    <t xml:space="preserve">時給（パート）</t>
  </si>
  <si>
    <r>
      <rPr>
        <sz val="10"/>
        <color rgb="FF808080"/>
        <rFont val="WenQuanYi Zen Hei"/>
        <family val="2"/>
      </rPr>
      <t xml:space="preserve">円</t>
    </r>
    <r>
      <rPr>
        <sz val="10"/>
        <color rgb="FF808080"/>
        <rFont val="Meiryo UI"/>
        <family val="0"/>
        <charset val="1"/>
      </rPr>
      <t xml:space="preserve">/h</t>
    </r>
  </si>
  <si>
    <r>
      <rPr>
        <sz val="9"/>
        <color rgb="FF808080"/>
        <rFont val="WenQuanYi Zen Hei"/>
        <family val="2"/>
      </rPr>
      <t xml:space="preserve">出典：現場資料「時給</t>
    </r>
    <r>
      <rPr>
        <sz val="9"/>
        <color rgb="FF808080"/>
        <rFont val="Meiryo UI"/>
        <family val="0"/>
        <charset val="1"/>
      </rPr>
      <t xml:space="preserve">1,500</t>
    </r>
    <r>
      <rPr>
        <sz val="9"/>
        <color rgb="FF808080"/>
        <rFont val="WenQuanYi Zen Hei"/>
        <family val="2"/>
      </rPr>
      <t xml:space="preserve">円」。法定福利費は含めず保守的に試算</t>
    </r>
  </si>
  <si>
    <t xml:space="preserve">年間稼働日数</t>
  </si>
  <si>
    <t xml:space="preserve">日</t>
  </si>
  <si>
    <t xml:space="preserve">毎日生産を想定。休業日がある場合は修正（月の稼働日数は暦日で按分）</t>
  </si>
  <si>
    <t xml:space="preserve">電力単価</t>
  </si>
  <si>
    <r>
      <rPr>
        <sz val="10"/>
        <color rgb="FF808080"/>
        <rFont val="WenQuanYi Zen Hei"/>
        <family val="2"/>
      </rPr>
      <t xml:space="preserve">円</t>
    </r>
    <r>
      <rPr>
        <sz val="10"/>
        <color rgb="FF808080"/>
        <rFont val="Meiryo UI"/>
        <family val="0"/>
        <charset val="1"/>
      </rPr>
      <t xml:space="preserve">/kWh</t>
    </r>
  </si>
  <si>
    <t xml:space="preserve">想定値（高圧電力の目安）。工場の実単価に置換推奨</t>
  </si>
  <si>
    <r>
      <rPr>
        <sz val="10"/>
        <color rgb="FF000000"/>
        <rFont val="WenQuanYi Zen Hei"/>
        <family val="2"/>
      </rPr>
      <t xml:space="preserve">消費電力（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台）</t>
    </r>
  </si>
  <si>
    <t xml:space="preserve">kW</t>
  </si>
  <si>
    <t xml:space="preserve">カタログ値</t>
  </si>
  <si>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日の電源</t>
    </r>
    <r>
      <rPr>
        <sz val="10"/>
        <color rgb="FF000000"/>
        <rFont val="Meiryo UI"/>
        <family val="0"/>
        <charset val="1"/>
      </rPr>
      <t xml:space="preserve">ON</t>
    </r>
    <r>
      <rPr>
        <sz val="10"/>
        <color rgb="FF000000"/>
        <rFont val="WenQuanYi Zen Hei"/>
        <family val="2"/>
      </rPr>
      <t xml:space="preserve">時間</t>
    </r>
  </si>
  <si>
    <t xml:space="preserve">h</t>
  </si>
  <si>
    <t xml:space="preserve">導入後工程の組立開始〜洗浄終了（定格出力で通電し続ける前提＝保守的）</t>
  </si>
  <si>
    <t xml:space="preserve">洗浄費（水道・洗剤）</t>
  </si>
  <si>
    <r>
      <rPr>
        <sz val="10"/>
        <color rgb="FF808080"/>
        <rFont val="WenQuanYi Zen Hei"/>
        <family val="2"/>
      </rPr>
      <t xml:space="preserve">円</t>
    </r>
    <r>
      <rPr>
        <sz val="10"/>
        <color rgb="FF808080"/>
        <rFont val="Meiryo UI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日</t>
    </r>
  </si>
  <si>
    <r>
      <rPr>
        <sz val="9"/>
        <color rgb="FF808080"/>
        <rFont val="WenQuanYi Zen Hei"/>
        <family val="2"/>
      </rPr>
      <t xml:space="preserve">想定値（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台分）</t>
    </r>
  </si>
  <si>
    <t xml:space="preserve">保守部品費（年率）</t>
  </si>
  <si>
    <t xml:space="preserve">取得価額比</t>
  </si>
  <si>
    <t xml:space="preserve">パッキン・ノズル等の交換。想定値</t>
  </si>
  <si>
    <t xml:space="preserve">絞り袋単価</t>
  </si>
  <si>
    <r>
      <rPr>
        <sz val="10"/>
        <color rgb="FF808080"/>
        <rFont val="WenQuanYi Zen Hei"/>
        <family val="2"/>
      </rPr>
      <t xml:space="preserve">円</t>
    </r>
    <r>
      <rPr>
        <sz val="10"/>
        <color rgb="FF808080"/>
        <rFont val="Meiryo UI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枚</t>
    </r>
  </si>
  <si>
    <r>
      <rPr>
        <sz val="9"/>
        <color rgb="FF808080"/>
        <rFont val="WenQuanYi Zen Hei"/>
        <family val="2"/>
      </rPr>
      <t xml:space="preserve">出典：現場資料「</t>
    </r>
    <r>
      <rPr>
        <sz val="9"/>
        <color rgb="FF808080"/>
        <rFont val="Meiryo UI"/>
        <family val="0"/>
        <charset val="1"/>
      </rPr>
      <t xml:space="preserve">16</t>
    </r>
    <r>
      <rPr>
        <sz val="9"/>
        <color rgb="FF808080"/>
        <rFont val="WenQuanYi Zen Hei"/>
        <family val="2"/>
      </rPr>
      <t xml:space="preserve">円</t>
    </r>
    <r>
      <rPr>
        <sz val="9"/>
        <color rgb="FF808080"/>
        <rFont val="Meiryo UI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枚」</t>
    </r>
  </si>
  <si>
    <t xml:space="preserve">絞り袋使用枚数（カスタード＆ホイップシュー）</t>
  </si>
  <si>
    <r>
      <rPr>
        <sz val="10"/>
        <color rgb="FF808080"/>
        <rFont val="WenQuanYi Zen Hei"/>
        <family val="2"/>
      </rPr>
      <t xml:space="preserve">枚</t>
    </r>
    <r>
      <rPr>
        <sz val="10"/>
        <color rgb="FF808080"/>
        <rFont val="Meiryo UI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日</t>
    </r>
  </si>
  <si>
    <t xml:space="preserve">出典：現場資料</t>
  </si>
  <si>
    <t xml:space="preserve">絞り袋使用枚数（ふんわりバナナロール）</t>
  </si>
  <si>
    <t xml:space="preserve">■ 工程比較①　現行（絞り袋手詰め）</t>
  </si>
  <si>
    <t xml:space="preserve">工程</t>
  </si>
  <si>
    <t xml:space="preserve">開始</t>
  </si>
  <si>
    <t xml:space="preserve">終了</t>
  </si>
  <si>
    <r>
      <rPr>
        <b val="true"/>
        <sz val="10"/>
        <color rgb="FFFFFFFF"/>
        <rFont val="WenQuanYi Zen Hei"/>
        <family val="2"/>
      </rPr>
      <t xml:space="preserve">時間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</si>
  <si>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人数</t>
  </si>
  <si>
    <r>
      <rPr>
        <b val="true"/>
        <sz val="10"/>
        <color rgb="FFFFFFFF"/>
        <rFont val="WenQuanYi Zen Hei"/>
        <family val="2"/>
      </rPr>
      <t xml:space="preserve">人時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</si>
  <si>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材料運搬</t>
  </si>
  <si>
    <r>
      <rPr>
        <sz val="9"/>
        <color rgb="FF808080"/>
        <rFont val="WenQuanYi Zen Hei"/>
        <family val="2"/>
      </rPr>
      <t xml:space="preserve">出典：現場資料の工程表（開始・終了・人数）※</t>
    </r>
    <r>
      <rPr>
        <sz val="9"/>
        <color rgb="FF808080"/>
        <rFont val="Meiryo UI"/>
        <family val="0"/>
        <charset val="1"/>
      </rPr>
      <t xml:space="preserve">2026/10/29</t>
    </r>
    <r>
      <rPr>
        <sz val="9"/>
        <color rgb="FF808080"/>
        <rFont val="WenQuanYi Zen Hei"/>
        <family val="2"/>
      </rPr>
      <t xml:space="preserve">修正版</t>
    </r>
  </si>
  <si>
    <t xml:space="preserve">カスタードクリーム絞り袋充填</t>
  </si>
  <si>
    <t xml:space="preserve">生クリーム絞り袋充填</t>
  </si>
  <si>
    <t xml:space="preserve">シュー生地内の壁崩し</t>
  </si>
  <si>
    <t xml:space="preserve">カスタードクリーム注入</t>
  </si>
  <si>
    <t xml:space="preserve">生クリーム注入</t>
  </si>
  <si>
    <t xml:space="preserve">粉糖掛け</t>
  </si>
  <si>
    <t xml:space="preserve">包材入れ（蓋閉め込み）</t>
  </si>
  <si>
    <t xml:space="preserve">合計</t>
  </si>
  <si>
    <t xml:space="preserve">■ 工程比較②　充填機導入後</t>
  </si>
  <si>
    <t xml:space="preserve">壁崩し工程は充填機ノズル注入により不要（現場資料の導入後工程に記載なし）</t>
  </si>
  <si>
    <t xml:space="preserve">充填機組み立て</t>
  </si>
  <si>
    <t xml:space="preserve">カスタードクリーム充填機充填</t>
  </si>
  <si>
    <t xml:space="preserve">生クリーム充填機充填</t>
  </si>
  <si>
    <t xml:space="preserve">充填機洗浄</t>
  </si>
  <si>
    <t xml:space="preserve">削減人時（分）</t>
  </si>
  <si>
    <r>
      <rPr>
        <sz val="10"/>
        <color rgb="FF808080"/>
        <rFont val="WenQuanYi Zen Hei"/>
        <family val="2"/>
      </rPr>
      <t xml:space="preserve">分</t>
    </r>
    <r>
      <rPr>
        <sz val="10"/>
        <color rgb="FF808080"/>
        <rFont val="Meiryo UI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日</t>
    </r>
  </si>
  <si>
    <t xml:space="preserve">現行人時 − 導入後人時</t>
  </si>
  <si>
    <t xml:space="preserve">削減人時（時間）</t>
  </si>
  <si>
    <r>
      <rPr>
        <sz val="10"/>
        <color rgb="FF808080"/>
        <rFont val="Meiryo UI"/>
        <family val="0"/>
        <charset val="1"/>
      </rPr>
      <t xml:space="preserve">h/</t>
    </r>
    <r>
      <rPr>
        <sz val="10"/>
        <color rgb="FF808080"/>
        <rFont val="WenQuanYi Zen Hei"/>
        <family val="2"/>
      </rPr>
      <t xml:space="preserve">日</t>
    </r>
  </si>
  <si>
    <t xml:space="preserve">① 人件費削減</t>
  </si>
  <si>
    <r>
      <rPr>
        <sz val="9"/>
        <color rgb="FF808080"/>
        <rFont val="WenQuanYi Zen Hei"/>
        <family val="2"/>
      </rPr>
      <t xml:space="preserve">削減人時 </t>
    </r>
    <r>
      <rPr>
        <sz val="9"/>
        <color rgb="FF808080"/>
        <rFont val="Meiryo UI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時給</t>
    </r>
  </si>
  <si>
    <t xml:space="preserve">② 消耗品費削減（絞り袋）</t>
  </si>
  <si>
    <t xml:space="preserve">絞り袋が不要になる</t>
  </si>
  <si>
    <t xml:space="preserve">③ 電気代（増加）</t>
  </si>
  <si>
    <r>
      <rPr>
        <sz val="9"/>
        <color rgb="FF808080"/>
        <rFont val="Meiryo UI"/>
        <family val="0"/>
        <charset val="1"/>
      </rPr>
      <t xml:space="preserve">kW × </t>
    </r>
    <r>
      <rPr>
        <sz val="9"/>
        <color rgb="FF808080"/>
        <rFont val="WenQuanYi Zen Hei"/>
        <family val="2"/>
      </rPr>
      <t xml:space="preserve">台数 </t>
    </r>
    <r>
      <rPr>
        <sz val="9"/>
        <color rgb="FF808080"/>
        <rFont val="Meiryo UI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電源</t>
    </r>
    <r>
      <rPr>
        <sz val="9"/>
        <color rgb="FF808080"/>
        <rFont val="Meiryo UI"/>
        <family val="0"/>
        <charset val="1"/>
      </rPr>
      <t xml:space="preserve">ON</t>
    </r>
    <r>
      <rPr>
        <sz val="9"/>
        <color rgb="FF808080"/>
        <rFont val="WenQuanYi Zen Hei"/>
        <family val="2"/>
      </rPr>
      <t xml:space="preserve">時間 </t>
    </r>
    <r>
      <rPr>
        <sz val="9"/>
        <color rgb="FF808080"/>
        <rFont val="Meiryo UI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電力単価</t>
    </r>
  </si>
  <si>
    <t xml:space="preserve">④ 洗浄費（増加）</t>
  </si>
  <si>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日当たり純効果（①</t>
    </r>
    <r>
      <rPr>
        <sz val="10"/>
        <color rgb="FF000000"/>
        <rFont val="Meiryo UI"/>
        <family val="0"/>
        <charset val="1"/>
      </rPr>
      <t xml:space="preserve">+②−③−④</t>
    </r>
    <r>
      <rPr>
        <sz val="10"/>
        <color rgb="FF000000"/>
        <rFont val="WenQuanYi Zen Hei"/>
        <family val="2"/>
      </rPr>
      <t xml:space="preserve">）</t>
    </r>
  </si>
  <si>
    <t xml:space="preserve">■ 年間・月平均（投資回収の基礎数値）</t>
  </si>
  <si>
    <t xml:space="preserve">年間 人件費削減</t>
  </si>
  <si>
    <r>
      <rPr>
        <sz val="10"/>
        <color rgb="FF808080"/>
        <rFont val="WenQuanYi Zen Hei"/>
        <family val="2"/>
      </rPr>
      <t xml:space="preserve">円</t>
    </r>
    <r>
      <rPr>
        <sz val="10"/>
        <color rgb="FF808080"/>
        <rFont val="Meiryo UI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</si>
  <si>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t xml:space="preserve">年間 消耗品費削減</t>
  </si>
  <si>
    <t xml:space="preserve">年間 ランニングコスト（電気・洗浄）</t>
  </si>
  <si>
    <t xml:space="preserve">年間 保守部品費</t>
  </si>
  <si>
    <t xml:space="preserve">年間 純効果（キャッシュ）</t>
  </si>
  <si>
    <t xml:space="preserve">減価償却前の手残り</t>
  </si>
  <si>
    <t xml:space="preserve">月平均 純効果（キャッシュ）</t>
  </si>
  <si>
    <t xml:space="preserve">年間 減価償却費（機械＋電気・付帯工事）</t>
  </si>
  <si>
    <t xml:space="preserve">電気・付帯工事を一括費用にした場合は導入月のみ別途計上</t>
  </si>
  <si>
    <t xml:space="preserve">年間 利益改善額（減価償却後）</t>
  </si>
  <si>
    <r>
      <rPr>
        <sz val="9"/>
        <color rgb="FF808080"/>
        <rFont val="Meiryo UI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上の経常利益への影響</t>
    </r>
  </si>
  <si>
    <t xml:space="preserve">月平均 利益改善額（減価償却後）</t>
  </si>
  <si>
    <t xml:space="preserve">単純投資回収期間（か月）</t>
  </si>
  <si>
    <t xml:space="preserve">か月</t>
  </si>
  <si>
    <r>
      <rPr>
        <sz val="9"/>
        <color rgb="FF808080"/>
        <rFont val="WenQuanYi Zen Hei"/>
        <family val="2"/>
      </rPr>
      <t xml:space="preserve">総投資額（機械＋電気・付帯工事）</t>
    </r>
    <r>
      <rPr>
        <sz val="9"/>
        <color rgb="FF808080"/>
        <rFont val="Meiryo UI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月平均純効果</t>
    </r>
  </si>
  <si>
    <t xml:space="preserve">単純投資回収期間（年）</t>
  </si>
  <si>
    <t xml:space="preserve">削減効果がこの割合を下回らない限り、償却後も利益はプラス</t>
  </si>
  <si>
    <r>
      <rPr>
        <b val="true"/>
        <sz val="11"/>
        <color rgb="FF1F3864"/>
        <rFont val="WenQuanYi Zen Hei"/>
        <family val="2"/>
      </rPr>
      <t xml:space="preserve">■ 電気・付帯工事費（</t>
    </r>
    <r>
      <rPr>
        <b val="true"/>
        <sz val="11"/>
        <color rgb="FF1F3864"/>
        <rFont val="Meiryo UI"/>
        <family val="0"/>
        <charset val="1"/>
      </rPr>
      <t xml:space="preserve">AC200V</t>
    </r>
    <r>
      <rPr>
        <b val="true"/>
        <sz val="11"/>
        <color rgb="FF1F3864"/>
        <rFont val="WenQuanYi Zen Hei"/>
        <family val="2"/>
      </rPr>
      <t xml:space="preserve">電源・配線、搬入・設置・試運転）</t>
    </r>
  </si>
  <si>
    <t xml:space="preserve">電気・付帯工事費（税抜）</t>
  </si>
  <si>
    <r>
      <rPr>
        <sz val="9"/>
        <color rgb="FF808080"/>
        <rFont val="WenQuanYi Zen Hei"/>
        <family val="2"/>
      </rPr>
      <t xml:space="preserve">指示値：</t>
    </r>
    <r>
      <rPr>
        <sz val="9"/>
        <color rgb="FF808080"/>
        <rFont val="Meiryo UI"/>
        <family val="0"/>
        <charset val="1"/>
      </rPr>
      <t xml:space="preserve">50</t>
    </r>
    <r>
      <rPr>
        <sz val="9"/>
        <color rgb="FF808080"/>
        <rFont val="WenQuanYi Zen Hei"/>
        <family val="2"/>
      </rPr>
      <t xml:space="preserve">万円（電気・付帯工事＋付帯工事の合計・区分</t>
    </r>
    <r>
      <rPr>
        <sz val="9"/>
        <color rgb="FF808080"/>
        <rFont val="Meiryo UI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）。</t>
    </r>
    <r>
      <rPr>
        <sz val="9"/>
        <color rgb="FF808080"/>
        <rFont val="Meiryo UI"/>
        <family val="0"/>
        <charset val="1"/>
      </rPr>
      <t xml:space="preserve">0</t>
    </r>
    <r>
      <rPr>
        <sz val="9"/>
        <color rgb="FF808080"/>
        <rFont val="WenQuanYi Zen Hei"/>
        <family val="2"/>
      </rPr>
      <t xml:space="preserve">円にすると全シートで影響なし</t>
    </r>
  </si>
  <si>
    <r>
      <rPr>
        <sz val="10"/>
        <color rgb="FF000000"/>
        <rFont val="WenQuanYi Zen Hei"/>
        <family val="2"/>
      </rPr>
      <t xml:space="preserve">会計処理区分（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を選択）</t>
    </r>
  </si>
  <si>
    <t xml:space="preserve">区分</t>
  </si>
  <si>
    <r>
      <rPr>
        <sz val="9"/>
        <color rgb="FF808080"/>
        <rFont val="Meiryo UI"/>
        <family val="0"/>
        <charset val="1"/>
      </rPr>
      <t xml:space="preserve">1:</t>
    </r>
    <r>
      <rPr>
        <sz val="9"/>
        <color rgb="FF808080"/>
        <rFont val="WenQuanYi Zen Hei"/>
        <family val="2"/>
      </rPr>
      <t xml:space="preserve">機械の取得価額に含める（</t>
    </r>
    <r>
      <rPr>
        <sz val="9"/>
        <color rgb="FF808080"/>
        <rFont val="Meiryo UI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年償却）／</t>
    </r>
    <r>
      <rPr>
        <sz val="9"/>
        <color rgb="FF808080"/>
        <rFont val="Meiryo UI"/>
        <family val="0"/>
        <charset val="1"/>
      </rPr>
      <t xml:space="preserve">2:</t>
    </r>
    <r>
      <rPr>
        <sz val="9"/>
        <color rgb="FF808080"/>
        <rFont val="WenQuanYi Zen Hei"/>
        <family val="2"/>
      </rPr>
      <t xml:space="preserve">建物附属設備（電気設備</t>
    </r>
    <r>
      <rPr>
        <sz val="9"/>
        <color rgb="FF808080"/>
        <rFont val="Meiryo UI"/>
        <family val="0"/>
        <charset val="1"/>
      </rPr>
      <t xml:space="preserve">15</t>
    </r>
    <r>
      <rPr>
        <sz val="9"/>
        <color rgb="FF808080"/>
        <rFont val="WenQuanYi Zen Hei"/>
        <family val="2"/>
      </rPr>
      <t xml:space="preserve">年償却）／</t>
    </r>
    <r>
      <rPr>
        <sz val="9"/>
        <color rgb="FF808080"/>
        <rFont val="Meiryo UI"/>
        <family val="0"/>
        <charset val="1"/>
      </rPr>
      <t xml:space="preserve">3:</t>
    </r>
    <r>
      <rPr>
        <sz val="9"/>
        <color rgb="FF808080"/>
        <rFont val="WenQuanYi Zen Hei"/>
        <family val="2"/>
      </rPr>
      <t xml:space="preserve">一括費用（修繕費）</t>
    </r>
  </si>
  <si>
    <t xml:space="preserve">処理の内容</t>
  </si>
  <si>
    <t xml:space="preserve">建物附属設備（電気設備）の耐用年数</t>
  </si>
  <si>
    <r>
      <rPr>
        <sz val="9"/>
        <color rgb="FF808080"/>
        <rFont val="WenQuanYi Zen Hei"/>
        <family val="2"/>
      </rPr>
      <t xml:space="preserve">法定耐用年数：電気設備（照明設備を含む）その他のもの</t>
    </r>
    <r>
      <rPr>
        <sz val="9"/>
        <color rgb="FF808080"/>
        <rFont val="Meiryo UI"/>
        <family val="0"/>
        <charset val="1"/>
      </rPr>
      <t xml:space="preserve">15</t>
    </r>
    <r>
      <rPr>
        <sz val="9"/>
        <color rgb="FF808080"/>
        <rFont val="WenQuanYi Zen Hei"/>
        <family val="2"/>
      </rPr>
      <t xml:space="preserve">年</t>
    </r>
  </si>
  <si>
    <t xml:space="preserve">適用する償却年数</t>
  </si>
  <si>
    <t xml:space="preserve">電気・付帯工事 月額減価償却費</t>
  </si>
  <si>
    <t xml:space="preserve">電気・付帯工事 一括費用計上額（導入月）</t>
  </si>
  <si>
    <r>
      <rPr>
        <sz val="9"/>
        <color rgb="FF808080"/>
        <rFont val="WenQuanYi Zen Hei"/>
        <family val="2"/>
      </rPr>
      <t xml:space="preserve">区分</t>
    </r>
    <r>
      <rPr>
        <sz val="9"/>
        <color rgb="FF808080"/>
        <rFont val="Meiryo UI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のときのみ</t>
    </r>
  </si>
  <si>
    <r>
      <rPr>
        <sz val="10"/>
        <color rgb="FF000000"/>
        <rFont val="Meiryo UI"/>
        <family val="0"/>
        <charset val="1"/>
      </rPr>
      <t xml:space="preserve">PL</t>
    </r>
    <r>
      <rPr>
        <sz val="10"/>
        <color rgb="FF000000"/>
        <rFont val="WenQuanYi Zen Hei"/>
        <family val="2"/>
      </rPr>
      <t xml:space="preserve">計上科目</t>
    </r>
  </si>
  <si>
    <t xml:space="preserve">支払方法</t>
  </si>
  <si>
    <t xml:space="preserve">工事完了後に一括払い</t>
  </si>
  <si>
    <r>
      <rPr>
        <sz val="9"/>
        <color rgb="FF808080"/>
        <rFont val="WenQuanYi Zen Hei"/>
        <family val="2"/>
      </rPr>
      <t xml:space="preserve">支払は一括でも、資産計上なら</t>
    </r>
    <r>
      <rPr>
        <sz val="9"/>
        <color rgb="FF808080"/>
        <rFont val="Meiryo UI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は償却で月割り。回収計算では導入月に全額支出として扱う</t>
    </r>
  </si>
  <si>
    <t xml:space="preserve">投資回収の判定はこの金額で行う</t>
  </si>
  <si>
    <r>
      <rPr>
        <b val="true"/>
        <sz val="14"/>
        <color rgb="FF000000"/>
        <rFont val="WenQuanYi Zen Hei"/>
        <family val="2"/>
      </rPr>
      <t xml:space="preserve">投資回収計画（月次）　充填機</t>
    </r>
    <r>
      <rPr>
        <b val="true"/>
        <sz val="14"/>
        <color rgb="FF000000"/>
        <rFont val="Meiryo UI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台／白鳥惣菜</t>
    </r>
  </si>
  <si>
    <r>
      <rPr>
        <sz val="9"/>
        <color rgb="FF808080"/>
        <rFont val="WenQuanYi Zen Hei"/>
        <family val="2"/>
      </rPr>
      <t xml:space="preserve">単位：円　導入月から耐用年数</t>
    </r>
    <r>
      <rPr>
        <sz val="9"/>
        <color rgb="FF808080"/>
        <rFont val="Meiryo UI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年（</t>
    </r>
    <r>
      <rPr>
        <sz val="9"/>
        <color rgb="FF808080"/>
        <rFont val="Meiryo UI"/>
        <family val="0"/>
        <charset val="1"/>
      </rPr>
      <t xml:space="preserve">120</t>
    </r>
    <r>
      <rPr>
        <sz val="9"/>
        <color rgb="FF808080"/>
        <rFont val="WenQuanYi Zen Hei"/>
        <family val="2"/>
      </rPr>
      <t xml:space="preserve">か月）まで表示。効果発現率（</t>
    </r>
    <r>
      <rPr>
        <sz val="9"/>
        <color rgb="FF808080"/>
        <rFont val="Meiryo UI"/>
        <family val="0"/>
        <charset val="1"/>
      </rPr>
      <t xml:space="preserve">E</t>
    </r>
    <r>
      <rPr>
        <sz val="9"/>
        <color rgb="FF808080"/>
        <rFont val="WenQuanYi Zen Hei"/>
        <family val="2"/>
      </rPr>
      <t xml:space="preserve">列・青字）は月ごとに変更可</t>
    </r>
  </si>
  <si>
    <t xml:space="preserve">投資回収月数</t>
  </si>
  <si>
    <r>
      <rPr>
        <b val="true"/>
        <sz val="10"/>
        <color rgb="FF000000"/>
        <rFont val="Meiryo UI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年以内判定</t>
    </r>
  </si>
  <si>
    <r>
      <rPr>
        <b val="true"/>
        <sz val="10"/>
        <color rgb="FF000000"/>
        <rFont val="Meiryo UI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年間累計</t>
    </r>
    <r>
      <rPr>
        <b val="true"/>
        <sz val="10"/>
        <color rgb="FF000000"/>
        <rFont val="Meiryo UI"/>
        <family val="0"/>
        <charset val="1"/>
      </rPr>
      <t xml:space="preserve">CF</t>
    </r>
  </si>
  <si>
    <t xml:space="preserve">No</t>
  </si>
  <si>
    <t xml:space="preserve">年月</t>
  </si>
  <si>
    <t xml:space="preserve">期</t>
  </si>
  <si>
    <t xml:space="preserve">稼働日数</t>
  </si>
  <si>
    <t xml:space="preserve">効果発現率</t>
  </si>
  <si>
    <t xml:space="preserve">①人件費削減</t>
  </si>
  <si>
    <t xml:space="preserve">②消耗品削減</t>
  </si>
  <si>
    <t xml:space="preserve">③電気・洗浄費</t>
  </si>
  <si>
    <t xml:space="preserve">④保守部品費</t>
  </si>
  <si>
    <r>
      <rPr>
        <b val="true"/>
        <sz val="10"/>
        <color rgb="FFFFFFFF"/>
        <rFont val="WenQuanYi Zen Hei"/>
        <family val="2"/>
      </rPr>
      <t xml:space="preserve">純効果</t>
    </r>
    <r>
      <rPr>
        <b val="true"/>
        <sz val="10"/>
        <color rgb="FFFFFFFF"/>
        <rFont val="Meiryo UI"/>
        <family val="0"/>
        <charset val="1"/>
      </rPr>
      <t xml:space="preserve">(CF)
①+②−③−④</t>
    </r>
  </si>
  <si>
    <r>
      <rPr>
        <b val="true"/>
        <sz val="10"/>
        <color rgb="FFFFFFFF"/>
        <rFont val="WenQuanYi Zen Hei"/>
        <family val="2"/>
      </rPr>
      <t xml:space="preserve">累計</t>
    </r>
    <r>
      <rPr>
        <b val="true"/>
        <sz val="10"/>
        <color rgb="FFFFFFFF"/>
        <rFont val="Meiryo UI"/>
        <family val="0"/>
        <charset val="1"/>
      </rPr>
      <t xml:space="preserve">CF</t>
    </r>
  </si>
  <si>
    <t xml:space="preserve">未回収残高</t>
  </si>
  <si>
    <r>
      <rPr>
        <b val="true"/>
        <sz val="10"/>
        <color rgb="FFFFFFFF"/>
        <rFont val="WenQuanYi Zen Hei"/>
        <family val="2"/>
      </rPr>
      <t xml:space="preserve">減価償却費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機械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</si>
  <si>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利益影響
</t>
    </r>
    <r>
      <rPr>
        <b val="true"/>
        <sz val="10"/>
        <color rgb="FFFFFFFF"/>
        <rFont val="Meiryo UI"/>
        <family val="0"/>
        <charset val="1"/>
      </rPr>
      <t xml:space="preserve">(CF−</t>
    </r>
    <r>
      <rPr>
        <b val="true"/>
        <sz val="10"/>
        <color rgb="FFFFFFFF"/>
        <rFont val="WenQuanYi Zen Hei"/>
        <family val="2"/>
      </rPr>
      <t xml:space="preserve">償却等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</si>
  <si>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累計利益影響</t>
  </si>
  <si>
    <t xml:space="preserve">期末簿価</t>
  </si>
  <si>
    <t xml:space="preserve">回収判定</t>
  </si>
  <si>
    <t xml:space="preserve">電気・付帯工事
減価償却費</t>
  </si>
  <si>
    <t xml:space="preserve">電気・付帯工事
一括費用</t>
  </si>
  <si>
    <r>
      <rPr>
        <b val="true"/>
        <sz val="14"/>
        <color rgb="FF000000"/>
        <rFont val="WenQuanYi Zen Hei"/>
        <family val="2"/>
      </rPr>
      <t xml:space="preserve">投資回収・減価償却　期別推移（</t>
    </r>
    <r>
      <rPr>
        <b val="true"/>
        <sz val="14"/>
        <color rgb="FF000000"/>
        <rFont val="Meiryo UI"/>
        <family val="0"/>
        <charset val="1"/>
      </rPr>
      <t xml:space="preserve">10</t>
    </r>
    <r>
      <rPr>
        <b val="true"/>
        <sz val="14"/>
        <color rgb="FF000000"/>
        <rFont val="WenQuanYi Zen Hei"/>
        <family val="2"/>
      </rPr>
      <t xml:space="preserve">年）</t>
    </r>
  </si>
  <si>
    <r>
      <rPr>
        <sz val="9"/>
        <color rgb="FF808080"/>
        <rFont val="WenQuanYi Zen Hei"/>
        <family val="2"/>
      </rPr>
      <t xml:space="preserve">単位：円　期＝</t>
    </r>
    <r>
      <rPr>
        <sz val="9"/>
        <color rgb="FF808080"/>
        <rFont val="Meiryo UI"/>
        <family val="0"/>
        <charset val="1"/>
      </rPr>
      <t xml:space="preserve">7</t>
    </r>
    <r>
      <rPr>
        <sz val="9"/>
        <color rgb="FF808080"/>
        <rFont val="WenQuanYi Zen Hei"/>
        <family val="2"/>
      </rPr>
      <t xml:space="preserve">月〜翌</t>
    </r>
    <r>
      <rPr>
        <sz val="9"/>
        <color rgb="FF808080"/>
        <rFont val="Meiryo UI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月。</t>
    </r>
    <r>
      <rPr>
        <sz val="9"/>
        <color rgb="FF808080"/>
        <rFont val="Meiryo UI"/>
        <family val="0"/>
        <charset val="1"/>
      </rPr>
      <t xml:space="preserve">48</t>
    </r>
    <r>
      <rPr>
        <sz val="9"/>
        <color rgb="FF808080"/>
        <rFont val="WenQuanYi Zen Hei"/>
        <family val="2"/>
      </rPr>
      <t xml:space="preserve">期は</t>
    </r>
    <r>
      <rPr>
        <sz val="9"/>
        <color rgb="FF808080"/>
        <rFont val="Meiryo UI"/>
        <family val="0"/>
        <charset val="1"/>
      </rPr>
      <t xml:space="preserve">2027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月〜</t>
    </r>
    <r>
      <rPr>
        <sz val="9"/>
        <color rgb="FF808080"/>
        <rFont val="Meiryo UI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月の</t>
    </r>
    <r>
      <rPr>
        <sz val="9"/>
        <color rgb="FF808080"/>
        <rFont val="Meiryo UI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か月分。電気・付帯工事費は「前提条件」下部で入力</t>
    </r>
  </si>
  <si>
    <t xml:space="preserve">期間</t>
  </si>
  <si>
    <t xml:space="preserve">月数</t>
  </si>
  <si>
    <r>
      <rPr>
        <b val="true"/>
        <sz val="10"/>
        <color rgb="FFFFFFFF"/>
        <rFont val="WenQuanYi Zen Hei"/>
        <family val="2"/>
      </rPr>
      <t xml:space="preserve">純効果</t>
    </r>
    <r>
      <rPr>
        <b val="true"/>
        <sz val="10"/>
        <color rgb="FFFFFFFF"/>
        <rFont val="Meiryo UI"/>
        <family val="0"/>
        <charset val="1"/>
      </rPr>
      <t xml:space="preserve">(CF)</t>
    </r>
  </si>
  <si>
    <r>
      <rPr>
        <b val="true"/>
        <sz val="10"/>
        <color rgb="FFFFFFFF"/>
        <rFont val="WenQuanYi Zen Hei"/>
        <family val="2"/>
      </rPr>
      <t xml:space="preserve">減価償却費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電気・付帯工事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</si>
  <si>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一括費用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電気・付帯工事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</si>
  <si>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利益影響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償却後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</si>
  <si>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見方</t>
  </si>
  <si>
    <r>
      <rPr>
        <sz val="9"/>
        <color rgb="FF000000"/>
        <rFont val="WenQuanYi Zen Hei"/>
        <family val="2"/>
      </rPr>
      <t xml:space="preserve">・純効果</t>
    </r>
    <r>
      <rPr>
        <sz val="9"/>
        <color rgb="FF000000"/>
        <rFont val="Meiryo UI"/>
        <family val="0"/>
        <charset val="1"/>
      </rPr>
      <t xml:space="preserve">(CF)</t>
    </r>
    <r>
      <rPr>
        <sz val="9"/>
        <color rgb="FF000000"/>
        <rFont val="WenQuanYi Zen Hei"/>
        <family val="2"/>
      </rPr>
      <t xml:space="preserve">＝人件費・絞り袋の削減額から電気・洗浄・保守部品費を差し引いた手残り（減価償却前）。投資回収はこの累計と総投資額（機械＋電気・付帯工事）で判定。</t>
    </r>
  </si>
  <si>
    <r>
      <rPr>
        <sz val="9"/>
        <color rgb="FF000000"/>
        <rFont val="WenQuanYi Zen Hei"/>
        <family val="2"/>
      </rPr>
      <t xml:space="preserve">・利益影響＝純効果 − 減価償却費（機械・電気・付帯工事）− 電気・付帯工事の一括費用。</t>
    </r>
    <r>
      <rPr>
        <sz val="9"/>
        <color rgb="FF000000"/>
        <rFont val="Meiryo UI"/>
        <family val="0"/>
        <charset val="1"/>
      </rPr>
      <t xml:space="preserve">PL</t>
    </r>
    <r>
      <rPr>
        <sz val="9"/>
        <color rgb="FF000000"/>
        <rFont val="WenQuanYi Zen Hei"/>
        <family val="2"/>
      </rPr>
      <t xml:space="preserve">（経常利益）に表れる金額。</t>
    </r>
  </si>
  <si>
    <r>
      <rPr>
        <sz val="9"/>
        <color rgb="FF000000"/>
        <rFont val="WenQuanYi Zen Hei"/>
        <family val="2"/>
      </rPr>
      <t xml:space="preserve">・黄色の行＝投資額を回収し終える期。電気・付帯工事が</t>
    </r>
    <r>
      <rPr>
        <sz val="9"/>
        <color rgb="FF000000"/>
        <rFont val="Meiryo UI"/>
        <family val="0"/>
        <charset val="1"/>
      </rPr>
      <t xml:space="preserve">15</t>
    </r>
    <r>
      <rPr>
        <sz val="9"/>
        <color rgb="FF000000"/>
        <rFont val="WenQuanYi Zen Hei"/>
        <family val="2"/>
      </rPr>
      <t xml:space="preserve">年償却（区分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）の場合、</t>
    </r>
    <r>
      <rPr>
        <sz val="9"/>
        <color rgb="FF000000"/>
        <rFont val="Meiryo UI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年経過後も簿価が残ります。</t>
    </r>
  </si>
  <si>
    <r>
      <rPr>
        <b val="true"/>
        <sz val="13"/>
        <color rgb="FF000000"/>
        <rFont val="WenQuanYi Zen Hei"/>
        <family val="2"/>
      </rPr>
      <t xml:space="preserve">白鳥惣菜　ライン月別</t>
    </r>
    <r>
      <rPr>
        <b val="true"/>
        <sz val="13"/>
        <color rgb="FF000000"/>
        <rFont val="Meiryo UI"/>
        <family val="0"/>
        <charset val="1"/>
      </rPr>
      <t xml:space="preserve">PL</t>
    </r>
    <r>
      <rPr>
        <b val="true"/>
        <sz val="13"/>
        <color rgb="FF000000"/>
        <rFont val="WenQuanYi Zen Hei"/>
        <family val="2"/>
      </rPr>
      <t xml:space="preserve">（</t>
    </r>
    <r>
      <rPr>
        <b val="true"/>
        <sz val="13"/>
        <color rgb="FF000000"/>
        <rFont val="Meiryo UI"/>
        <family val="0"/>
        <charset val="1"/>
      </rPr>
      <t xml:space="preserve">17</t>
    </r>
    <r>
      <rPr>
        <b val="true"/>
        <sz val="13"/>
        <color rgb="FF000000"/>
        <rFont val="WenQuanYi Zen Hei"/>
        <family val="2"/>
      </rPr>
      <t xml:space="preserve">期予算）原本値</t>
    </r>
  </si>
  <si>
    <r>
      <rPr>
        <sz val="9"/>
        <color rgb="FF808080"/>
        <rFont val="WenQuanYi Zen Hei"/>
        <family val="2"/>
      </rPr>
      <t xml:space="preserve">出典：経広</t>
    </r>
    <r>
      <rPr>
        <sz val="9"/>
        <color rgb="FF808080"/>
        <rFont val="Meiryo UI"/>
        <family val="0"/>
        <charset val="1"/>
      </rPr>
      <t xml:space="preserve">_</t>
    </r>
    <r>
      <rPr>
        <sz val="9"/>
        <color rgb="FF808080"/>
        <rFont val="WenQuanYi Zen Hei"/>
        <family val="2"/>
      </rPr>
      <t xml:space="preserve">製造</t>
    </r>
    <r>
      <rPr>
        <sz val="9"/>
        <color rgb="FF808080"/>
        <rFont val="Meiryo UI"/>
        <family val="0"/>
        <charset val="1"/>
      </rPr>
      <t xml:space="preserve">PL_17</t>
    </r>
    <r>
      <rPr>
        <sz val="9"/>
        <color rgb="FF808080"/>
        <rFont val="WenQuanYi Zen Hei"/>
        <family val="2"/>
      </rPr>
      <t xml:space="preserve">通期予算</t>
    </r>
    <r>
      <rPr>
        <sz val="9"/>
        <color rgb="FF808080"/>
        <rFont val="Meiryo UI"/>
        <family val="0"/>
        <charset val="1"/>
      </rPr>
      <t xml:space="preserve">_2026.0618up</t>
    </r>
    <r>
      <rPr>
        <sz val="9"/>
        <color rgb="FF808080"/>
        <rFont val="WenQuanYi Zen Hei"/>
        <family val="2"/>
      </rPr>
      <t xml:space="preserve">　エリア人件費修正</t>
    </r>
    <r>
      <rPr>
        <sz val="9"/>
        <color rgb="FF808080"/>
        <rFont val="Meiryo UI"/>
        <family val="0"/>
        <charset val="1"/>
      </rPr>
      <t xml:space="preserve">.xls </t>
    </r>
    <r>
      <rPr>
        <sz val="9"/>
        <color rgb="FF808080"/>
        <rFont val="WenQuanYi Zen Hei"/>
        <family val="2"/>
      </rPr>
      <t xml:space="preserve">／「ライン月別</t>
    </r>
    <r>
      <rPr>
        <sz val="9"/>
        <color rgb="FF808080"/>
        <rFont val="Meiryo UI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」シート（白鳥惣菜）。単位：千円。値を転記（編集しない）</t>
    </r>
  </si>
  <si>
    <t xml:space="preserve">科目</t>
  </si>
  <si>
    <r>
      <rPr>
        <b val="true"/>
        <sz val="10"/>
        <color rgb="FFFFFFFF"/>
        <rFont val="Meiryo UI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</si>
  <si>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</si>
  <si>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</si>
  <si>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</si>
  <si>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</si>
  <si>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</si>
  <si>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 UI"/>
        <family val="0"/>
        <charset val="1"/>
      </rPr>
      <t xml:space="preserve">17</t>
    </r>
    <r>
      <rPr>
        <b val="true"/>
        <sz val="10"/>
        <color rgb="FFFFFFFF"/>
        <rFont val="WenQuanYi Zen Hei"/>
        <family val="2"/>
      </rPr>
      <t xml:space="preserve">期合計</t>
    </r>
  </si>
  <si>
    <t xml:space="preserve">売 上 高</t>
  </si>
  <si>
    <t xml:space="preserve">売上総利益</t>
  </si>
  <si>
    <t xml:space="preserve">荒利率</t>
  </si>
  <si>
    <t xml:space="preserve">　商品卸売上高</t>
  </si>
  <si>
    <t xml:space="preserve">　荒利益高</t>
  </si>
  <si>
    <t xml:space="preserve">　荒利率</t>
  </si>
  <si>
    <t xml:space="preserve">　物流フィ高</t>
  </si>
  <si>
    <t xml:space="preserve">　物流フィ高及びサービスリサイクル料等</t>
  </si>
  <si>
    <t xml:space="preserve">　手数料等売上高</t>
  </si>
  <si>
    <t xml:space="preserve">　手数料等</t>
  </si>
  <si>
    <t xml:space="preserve">　④その他売上高</t>
  </si>
  <si>
    <t xml:space="preserve">　販売奨励金</t>
  </si>
  <si>
    <t xml:space="preserve">人件費</t>
  </si>
  <si>
    <t xml:space="preserve">　社員給与</t>
  </si>
  <si>
    <t xml:space="preserve">　契約社員人件費</t>
  </si>
  <si>
    <t xml:space="preserve">　雑   給</t>
  </si>
  <si>
    <t xml:space="preserve">　派遣代</t>
  </si>
  <si>
    <t xml:space="preserve">　賞   与</t>
  </si>
  <si>
    <t xml:space="preserve">　法定福利費</t>
  </si>
  <si>
    <t xml:space="preserve">　福利厚生費</t>
  </si>
  <si>
    <t xml:space="preserve">　按分対象者人件費</t>
  </si>
  <si>
    <t xml:space="preserve">　採用教育・退職金</t>
  </si>
  <si>
    <t xml:space="preserve">広告・販促費</t>
  </si>
  <si>
    <t xml:space="preserve">　広告費</t>
  </si>
  <si>
    <t xml:space="preserve">　販売促進費</t>
  </si>
  <si>
    <t xml:space="preserve">不動産費</t>
  </si>
  <si>
    <t xml:space="preserve">　地   代</t>
  </si>
  <si>
    <t xml:space="preserve">　減価償却相当分設備費</t>
  </si>
  <si>
    <t xml:space="preserve">　家   賃</t>
  </si>
  <si>
    <t xml:space="preserve">一般管理費</t>
  </si>
  <si>
    <t xml:space="preserve">　消耗品費</t>
  </si>
  <si>
    <t xml:space="preserve">　保険料</t>
  </si>
  <si>
    <t xml:space="preserve">　修繕費</t>
  </si>
  <si>
    <t xml:space="preserve">　租税公課</t>
  </si>
  <si>
    <t xml:space="preserve">　燃料費（租税）</t>
  </si>
  <si>
    <t xml:space="preserve">　旅費交通費</t>
  </si>
  <si>
    <t xml:space="preserve">　通信費</t>
  </si>
  <si>
    <t xml:space="preserve">　水道光熱費重油ガス代</t>
  </si>
  <si>
    <t xml:space="preserve">　手数料</t>
  </si>
  <si>
    <t xml:space="preserve">　発送配達費（運賃）</t>
  </si>
  <si>
    <t xml:space="preserve">　物流費（料率）</t>
  </si>
  <si>
    <t xml:space="preserve">　物流費（料率外）</t>
  </si>
  <si>
    <t xml:space="preserve">　支払手数料</t>
  </si>
  <si>
    <t xml:space="preserve">　車両費</t>
  </si>
  <si>
    <t xml:space="preserve">　新聞図書費</t>
  </si>
  <si>
    <t xml:space="preserve">　リース料</t>
  </si>
  <si>
    <t xml:space="preserve">　顧問料</t>
  </si>
  <si>
    <t xml:space="preserve">　雑   費</t>
  </si>
  <si>
    <t xml:space="preserve">　減価償却費</t>
  </si>
  <si>
    <t xml:space="preserve">　保守契約料</t>
  </si>
  <si>
    <t xml:space="preserve">　外注費（派遣など）</t>
  </si>
  <si>
    <t xml:space="preserve">経費合計</t>
  </si>
  <si>
    <t xml:space="preserve">受取家賃</t>
  </si>
  <si>
    <t xml:space="preserve">営業利益高</t>
  </si>
  <si>
    <t xml:space="preserve">　営業外収益</t>
  </si>
  <si>
    <t xml:space="preserve">　営業外費用</t>
  </si>
  <si>
    <t xml:space="preserve">　本部費</t>
  </si>
  <si>
    <t xml:space="preserve">　システム開発費</t>
  </si>
  <si>
    <t xml:space="preserve">　物流機能按分</t>
  </si>
  <si>
    <t xml:space="preserve">経常利益</t>
  </si>
  <si>
    <r>
      <rPr>
        <sz val="10"/>
        <color rgb="FF000000"/>
        <rFont val="WenQuanYi Zen Hei"/>
        <family val="2"/>
      </rPr>
      <t xml:space="preserve">経営効率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前期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</si>
  <si>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FF"/>
        <rFont val="Meiryo UI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</si>
  <si>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</si>
  <si>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</si>
  <si>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</si>
  <si>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11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</si>
  <si>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12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</si>
  <si>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</si>
  <si>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</si>
  <si>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</si>
  <si>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</si>
  <si>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</si>
  <si>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月</t>
    </r>
  </si>
  <si>
    <r>
      <rPr>
        <sz val="10"/>
        <color rgb="FF0000FF"/>
        <rFont val="Meiryo UI"/>
        <family val="0"/>
        <charset val="1"/>
      </rPr>
      <t xml:space="preserve">17</t>
    </r>
    <r>
      <rPr>
        <sz val="10"/>
        <color rgb="FF0000FF"/>
        <rFont val="WenQuanYi Zen Hei"/>
        <family val="2"/>
      </rPr>
      <t xml:space="preserve">期合計</t>
    </r>
  </si>
  <si>
    <t xml:space="preserve">労働分配率</t>
  </si>
  <si>
    <t xml:space="preserve">運賃分配率</t>
  </si>
  <si>
    <t xml:space="preserve">物流機能分配率</t>
  </si>
  <si>
    <t xml:space="preserve">設備分配率</t>
  </si>
  <si>
    <t xml:space="preserve">人件費率</t>
  </si>
  <si>
    <t xml:space="preserve">運賃費率</t>
  </si>
  <si>
    <t xml:space="preserve">物流機能率</t>
  </si>
  <si>
    <t xml:space="preserve">設備費率</t>
  </si>
  <si>
    <t xml:space="preserve">売上対経常利益率</t>
  </si>
  <si>
    <t xml:space="preserve">売上対経費率</t>
  </si>
  <si>
    <r>
      <rPr>
        <b val="true"/>
        <sz val="13"/>
        <color rgb="FF000000"/>
        <rFont val="WenQuanYi Zen Hei"/>
        <family val="2"/>
      </rPr>
      <t xml:space="preserve">白鳥惣菜　ライン月別</t>
    </r>
    <r>
      <rPr>
        <b val="true"/>
        <sz val="13"/>
        <color rgb="FF000000"/>
        <rFont val="Meiryo UI"/>
        <family val="0"/>
        <charset val="1"/>
      </rPr>
      <t xml:space="preserve">PL</t>
    </r>
    <r>
      <rPr>
        <b val="true"/>
        <sz val="13"/>
        <color rgb="FF000000"/>
        <rFont val="WenQuanYi Zen Hei"/>
        <family val="2"/>
      </rPr>
      <t xml:space="preserve">（</t>
    </r>
    <r>
      <rPr>
        <b val="true"/>
        <sz val="13"/>
        <color rgb="FF000000"/>
        <rFont val="Meiryo UI"/>
        <family val="0"/>
        <charset val="1"/>
      </rPr>
      <t xml:space="preserve">17</t>
    </r>
    <r>
      <rPr>
        <b val="true"/>
        <sz val="13"/>
        <color rgb="FF000000"/>
        <rFont val="WenQuanYi Zen Hei"/>
        <family val="2"/>
      </rPr>
      <t xml:space="preserve">期実績 </t>
    </r>
    <r>
      <rPr>
        <b val="true"/>
        <sz val="13"/>
        <color rgb="FF000000"/>
        <rFont val="Meiryo UI"/>
        <family val="0"/>
        <charset val="1"/>
      </rPr>
      <t xml:space="preserve">7</t>
    </r>
    <r>
      <rPr>
        <b val="true"/>
        <sz val="13"/>
        <color rgb="FF000000"/>
        <rFont val="WenQuanYi Zen Hei"/>
        <family val="2"/>
      </rPr>
      <t xml:space="preserve">〜</t>
    </r>
    <r>
      <rPr>
        <b val="true"/>
        <sz val="13"/>
        <color rgb="FF000000"/>
        <rFont val="Meiryo UI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月）原本値</t>
    </r>
  </si>
  <si>
    <r>
      <rPr>
        <sz val="9"/>
        <color rgb="FF808080"/>
        <rFont val="WenQuanYi Zen Hei"/>
        <family val="2"/>
      </rPr>
      <t xml:space="preserve">出典：■</t>
    </r>
    <r>
      <rPr>
        <sz val="9"/>
        <color rgb="FF808080"/>
        <rFont val="Meiryo UI"/>
        <family val="0"/>
        <charset val="1"/>
      </rPr>
      <t xml:space="preserve">CRAST_Line_PL17_9-1Q.xls </t>
    </r>
    <r>
      <rPr>
        <sz val="9"/>
        <color rgb="FF808080"/>
        <rFont val="WenQuanYi Zen Hei"/>
        <family val="2"/>
      </rPr>
      <t xml:space="preserve">／「ライン月別</t>
    </r>
    <r>
      <rPr>
        <sz val="9"/>
        <color rgb="FF808080"/>
        <rFont val="Meiryo UI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」シート（白鳥惣菜）製造</t>
    </r>
    <r>
      <rPr>
        <sz val="9"/>
        <color rgb="FF808080"/>
        <rFont val="Meiryo UI"/>
        <family val="0"/>
        <charset val="1"/>
      </rPr>
      <t xml:space="preserve">PL 17</t>
    </r>
    <r>
      <rPr>
        <sz val="9"/>
        <color rgb="FF808080"/>
        <rFont val="WenQuanYi Zen Hei"/>
        <family val="2"/>
      </rPr>
      <t xml:space="preserve">期 </t>
    </r>
    <r>
      <rPr>
        <sz val="9"/>
        <color rgb="FF808080"/>
        <rFont val="Meiryo UI"/>
        <family val="0"/>
        <charset val="1"/>
      </rPr>
      <t xml:space="preserve">7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Meiryo UI"/>
        <family val="0"/>
        <charset val="1"/>
      </rPr>
      <t xml:space="preserve">9</t>
    </r>
    <r>
      <rPr>
        <sz val="9"/>
        <color rgb="FF808080"/>
        <rFont val="WenQuanYi Zen Hei"/>
        <family val="2"/>
      </rPr>
      <t xml:space="preserve">月実績。単位：千円。値を転記（編集しない）</t>
    </r>
  </si>
  <si>
    <r>
      <rPr>
        <b val="true"/>
        <sz val="10"/>
        <color rgb="FFFFFFFF"/>
        <rFont val="Meiryo UI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月計</t>
    </r>
  </si>
  <si>
    <t xml:space="preserve">　雑給</t>
  </si>
  <si>
    <t xml:space="preserve">　賞与</t>
  </si>
  <si>
    <t xml:space="preserve">　地代</t>
  </si>
  <si>
    <t xml:space="preserve">　家賃</t>
  </si>
  <si>
    <r>
      <rPr>
        <sz val="10"/>
        <color rgb="FF000000"/>
        <rFont val="WenQuanYi Zen Hei"/>
        <family val="2"/>
      </rPr>
      <t xml:space="preserve">　発送配達費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運賃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</si>
  <si>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　物流費（</t>
    </r>
    <r>
      <rPr>
        <sz val="10"/>
        <color rgb="FF000000"/>
        <rFont val="Meiryo UI"/>
        <family val="0"/>
        <charset val="1"/>
      </rPr>
      <t xml:space="preserve">TLS</t>
    </r>
    <r>
      <rPr>
        <sz val="10"/>
        <color rgb="FF000000"/>
        <rFont val="WenQuanYi Zen Hei"/>
        <family val="2"/>
      </rPr>
      <t xml:space="preserve">委託）</t>
    </r>
  </si>
  <si>
    <t xml:space="preserve">　物流費（外部委託）</t>
  </si>
  <si>
    <t xml:space="preserve">　雑費</t>
  </si>
  <si>
    <r>
      <rPr>
        <sz val="10"/>
        <color rgb="FF000000"/>
        <rFont val="WenQuanYi Zen Hei"/>
        <family val="2"/>
      </rPr>
      <t xml:space="preserve">　外注費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派遣など</t>
    </r>
    <r>
      <rPr>
        <sz val="10"/>
        <color rgb="FF000000"/>
        <rFont val="Meiryo UI"/>
        <family val="0"/>
        <charset val="1"/>
      </rPr>
      <t xml:space="preserve">)</t>
    </r>
  </si>
  <si>
    <t xml:space="preserve">　共通按分</t>
  </si>
  <si>
    <t xml:space="preserve">経常利益高</t>
  </si>
  <si>
    <r>
      <rPr>
        <b val="true"/>
        <sz val="14"/>
        <color rgb="FF000000"/>
        <rFont val="WenQuanYi Zen Hei"/>
        <family val="2"/>
      </rPr>
      <t xml:space="preserve">白鳥惣菜　ライン月別</t>
    </r>
    <r>
      <rPr>
        <b val="true"/>
        <sz val="14"/>
        <color rgb="FF000000"/>
        <rFont val="Meiryo UI"/>
        <family val="0"/>
        <charset val="1"/>
      </rPr>
      <t xml:space="preserve">PL</t>
    </r>
    <r>
      <rPr>
        <b val="true"/>
        <sz val="14"/>
        <color rgb="FF000000"/>
        <rFont val="WenQuanYi Zen Hei"/>
        <family val="2"/>
      </rPr>
      <t xml:space="preserve">（</t>
    </r>
    <r>
      <rPr>
        <b val="true"/>
        <sz val="14"/>
        <color rgb="FF000000"/>
        <rFont val="Meiryo UI"/>
        <family val="0"/>
        <charset val="1"/>
      </rPr>
      <t xml:space="preserve">48</t>
    </r>
    <r>
      <rPr>
        <b val="true"/>
        <sz val="14"/>
        <color rgb="FF000000"/>
        <rFont val="WenQuanYi Zen Hei"/>
        <family val="2"/>
      </rPr>
      <t xml:space="preserve">期＝製造</t>
    </r>
    <r>
      <rPr>
        <b val="true"/>
        <sz val="14"/>
        <color rgb="FF000000"/>
        <rFont val="Meiryo UI"/>
        <family val="0"/>
        <charset val="1"/>
      </rPr>
      <t xml:space="preserve">PL 17</t>
    </r>
    <r>
      <rPr>
        <b val="true"/>
        <sz val="14"/>
        <color rgb="FF000000"/>
        <rFont val="WenQuanYi Zen Hei"/>
        <family val="2"/>
      </rPr>
      <t xml:space="preserve">期予算）　充填機導入（</t>
    </r>
    <r>
      <rPr>
        <b val="true"/>
        <sz val="14"/>
        <color rgb="FF000000"/>
        <rFont val="Meiryo UI"/>
        <family val="0"/>
        <charset val="1"/>
      </rPr>
      <t xml:space="preserve">2027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Meiryo UI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月</t>
    </r>
    <r>
      <rPr>
        <b val="true"/>
        <sz val="14"/>
        <color rgb="FF000000"/>
        <rFont val="Meiryo UI"/>
        <family val="0"/>
        <charset val="1"/>
      </rPr>
      <t xml:space="preserve">1</t>
    </r>
    <r>
      <rPr>
        <b val="true"/>
        <sz val="14"/>
        <color rgb="FF000000"/>
        <rFont val="WenQuanYi Zen Hei"/>
        <family val="2"/>
      </rPr>
      <t xml:space="preserve">日）効果</t>
    </r>
  </si>
  <si>
    <r>
      <rPr>
        <sz val="9"/>
        <color rgb="FF808080"/>
        <rFont val="WenQuanYi Zen Hei"/>
        <family val="2"/>
      </rPr>
      <t xml:space="preserve">単位：千円　①予算は製造</t>
    </r>
    <r>
      <rPr>
        <sz val="9"/>
        <color rgb="FF808080"/>
        <rFont val="Meiryo UI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原本値、②は投資回収シートの月次効果を千円換算、③＝①＋②の影響</t>
    </r>
  </si>
  <si>
    <r>
      <rPr>
        <b val="true"/>
        <sz val="10"/>
        <color rgb="FFFFFFFF"/>
        <rFont val="WenQuanYi Zen Hei"/>
        <family val="2"/>
      </rPr>
      <t xml:space="preserve">下期計
</t>
    </r>
    <r>
      <rPr>
        <b val="true"/>
        <sz val="10"/>
        <color rgb="FFFFFFFF"/>
        <rFont val="Meiryo UI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</si>
  <si>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（月度）</t>
  </si>
  <si>
    <r>
      <rPr>
        <b val="true"/>
        <sz val="11"/>
        <color rgb="FF1F3864"/>
        <rFont val="Meiryo UI"/>
        <family val="0"/>
        <charset val="1"/>
      </rPr>
      <t xml:space="preserve">① 17</t>
    </r>
    <r>
      <rPr>
        <b val="true"/>
        <sz val="11"/>
        <color rgb="FF1F3864"/>
        <rFont val="WenQuanYi Zen Hei"/>
        <family val="2"/>
      </rPr>
      <t xml:space="preserve">期予算（現行・製造部予算）</t>
    </r>
  </si>
  <si>
    <t xml:space="preserve">② 充填機導入による増減（経費のプラスは費用増、マイナスは費用減）</t>
  </si>
  <si>
    <t xml:space="preserve">稼働日数（日）</t>
  </si>
  <si>
    <t xml:space="preserve">雑給（人件費削減）</t>
  </si>
  <si>
    <r>
      <rPr>
        <sz val="9"/>
        <color rgb="FF808080"/>
        <rFont val="WenQuanYi Zen Hei"/>
        <family val="2"/>
      </rPr>
      <t xml:space="preserve">手詰め・壁崩し工程の削減人時 </t>
    </r>
    <r>
      <rPr>
        <sz val="9"/>
        <color rgb="FF808080"/>
        <rFont val="Meiryo UI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時給</t>
    </r>
  </si>
  <si>
    <t xml:space="preserve">消耗品費（絞り袋削減）</t>
  </si>
  <si>
    <r>
      <rPr>
        <sz val="9"/>
        <color rgb="FF808080"/>
        <rFont val="WenQuanYi Zen Hei"/>
        <family val="2"/>
      </rPr>
      <t xml:space="preserve">絞り袋 </t>
    </r>
    <r>
      <rPr>
        <sz val="9"/>
        <color rgb="FF808080"/>
        <rFont val="Meiryo UI"/>
        <family val="0"/>
        <charset val="1"/>
      </rPr>
      <t xml:space="preserve">16</t>
    </r>
    <r>
      <rPr>
        <sz val="9"/>
        <color rgb="FF808080"/>
        <rFont val="WenQuanYi Zen Hei"/>
        <family val="2"/>
      </rPr>
      <t xml:space="preserve">円</t>
    </r>
    <r>
      <rPr>
        <sz val="9"/>
        <color rgb="FF808080"/>
        <rFont val="Meiryo UI"/>
        <family val="0"/>
        <charset val="1"/>
      </rPr>
      <t xml:space="preserve">×6</t>
    </r>
    <r>
      <rPr>
        <sz val="9"/>
        <color rgb="FF808080"/>
        <rFont val="WenQuanYi Zen Hei"/>
        <family val="2"/>
      </rPr>
      <t xml:space="preserve">枚</t>
    </r>
    <r>
      <rPr>
        <sz val="9"/>
        <color rgb="FF808080"/>
        <rFont val="Meiryo UI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日が不要</t>
    </r>
  </si>
  <si>
    <t xml:space="preserve">水道光熱費（電気・洗浄水）</t>
  </si>
  <si>
    <r>
      <rPr>
        <sz val="9"/>
        <color rgb="FF808080"/>
        <rFont val="Meiryo UI"/>
        <family val="0"/>
        <charset val="1"/>
      </rPr>
      <t xml:space="preserve">0.4kW×2</t>
    </r>
    <r>
      <rPr>
        <sz val="9"/>
        <color rgb="FF808080"/>
        <rFont val="WenQuanYi Zen Hei"/>
        <family val="2"/>
      </rPr>
      <t xml:space="preserve">台の電気代＋洗浄水・洗剤</t>
    </r>
  </si>
  <si>
    <t xml:space="preserve">修繕費（保守部品）</t>
  </si>
  <si>
    <r>
      <rPr>
        <sz val="9"/>
        <color rgb="FF808080"/>
        <rFont val="WenQuanYi Zen Hei"/>
        <family val="2"/>
      </rPr>
      <t xml:space="preserve">取得価額</t>
    </r>
    <r>
      <rPr>
        <sz val="9"/>
        <color rgb="FF808080"/>
        <rFont val="Meiryo UI"/>
        <family val="0"/>
        <charset val="1"/>
      </rPr>
      <t xml:space="preserve">×2%/</t>
    </r>
    <r>
      <rPr>
        <sz val="9"/>
        <color rgb="FF808080"/>
        <rFont val="WenQuanYi Zen Hei"/>
        <family val="2"/>
      </rPr>
      <t xml:space="preserve">年</t>
    </r>
  </si>
  <si>
    <r>
      <rPr>
        <b val="true"/>
        <sz val="10"/>
        <color rgb="FF000000"/>
        <rFont val="WenQuanYi Zen Hei"/>
        <family val="2"/>
      </rPr>
      <t xml:space="preserve">減価償却費（機械・</t>
    </r>
    <r>
      <rPr>
        <b val="true"/>
        <sz val="10"/>
        <color rgb="FF000000"/>
        <rFont val="Meiryo UI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年定額）</t>
    </r>
  </si>
  <si>
    <r>
      <rPr>
        <sz val="9"/>
        <color rgb="FF808080"/>
        <rFont val="WenQuanYi Zen Hei"/>
        <family val="2"/>
      </rPr>
      <t xml:space="preserve">機械 取得価額</t>
    </r>
    <r>
      <rPr>
        <sz val="9"/>
        <color rgb="FF808080"/>
        <rFont val="Meiryo UI"/>
        <family val="0"/>
        <charset val="1"/>
      </rPr>
      <t xml:space="preserve">÷120</t>
    </r>
    <r>
      <rPr>
        <sz val="9"/>
        <color rgb="FF808080"/>
        <rFont val="WenQuanYi Zen Hei"/>
        <family val="2"/>
      </rPr>
      <t xml:space="preserve">か月</t>
    </r>
  </si>
  <si>
    <t xml:space="preserve">減価償却費（電気・付帯工事）</t>
  </si>
  <si>
    <r>
      <rPr>
        <sz val="9"/>
        <color rgb="FF808080"/>
        <rFont val="WenQuanYi Zen Hei"/>
        <family val="2"/>
      </rPr>
      <t xml:space="preserve">電気・付帯工事を資産計上（区分</t>
    </r>
    <r>
      <rPr>
        <sz val="9"/>
        <color rgb="FF808080"/>
        <rFont val="Meiryo UI"/>
        <family val="0"/>
        <charset val="1"/>
      </rPr>
      <t xml:space="preserve">1:10</t>
    </r>
    <r>
      <rPr>
        <sz val="9"/>
        <color rgb="FF808080"/>
        <rFont val="WenQuanYi Zen Hei"/>
        <family val="2"/>
      </rPr>
      <t xml:space="preserve">年／区分</t>
    </r>
    <r>
      <rPr>
        <sz val="9"/>
        <color rgb="FF808080"/>
        <rFont val="Meiryo UI"/>
        <family val="0"/>
        <charset val="1"/>
      </rPr>
      <t xml:space="preserve">2:15</t>
    </r>
    <r>
      <rPr>
        <sz val="9"/>
        <color rgb="FF808080"/>
        <rFont val="WenQuanYi Zen Hei"/>
        <family val="2"/>
      </rPr>
      <t xml:space="preserve">年）した場合の月割償却</t>
    </r>
  </si>
  <si>
    <t xml:space="preserve">修繕費（電気・付帯工事・一括費用）</t>
  </si>
  <si>
    <r>
      <rPr>
        <sz val="9"/>
        <color rgb="FF808080"/>
        <rFont val="WenQuanYi Zen Hei"/>
        <family val="2"/>
      </rPr>
      <t xml:space="preserve">区分</t>
    </r>
    <r>
      <rPr>
        <sz val="9"/>
        <color rgb="FF808080"/>
        <rFont val="Meiryo UI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：導入月（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月）に全額費用計上</t>
    </r>
  </si>
  <si>
    <t xml:space="preserve">経費増減 合計</t>
  </si>
  <si>
    <t xml:space="preserve">（参考）償却前の投資効果額</t>
  </si>
  <si>
    <r>
      <rPr>
        <sz val="10"/>
        <color rgb="FF808080"/>
        <rFont val="WenQuanYi Zen Hei"/>
        <family val="2"/>
      </rPr>
      <t xml:space="preserve">（参考）効果額 </t>
    </r>
    <r>
      <rPr>
        <sz val="10"/>
        <color rgb="FF808080"/>
        <rFont val="Meiryo UI"/>
        <family val="0"/>
        <charset val="1"/>
      </rPr>
      <t xml:space="preserve">÷ </t>
    </r>
    <r>
      <rPr>
        <sz val="10"/>
        <color rgb="FF808080"/>
        <rFont val="WenQuanYi Zen Hei"/>
        <family val="2"/>
      </rPr>
      <t xml:space="preserve">減価償却費</t>
    </r>
  </si>
  <si>
    <t xml:space="preserve">償却費を何倍の効果で相殺しているか</t>
  </si>
  <si>
    <r>
      <rPr>
        <b val="true"/>
        <sz val="11"/>
        <color rgb="FF1F3864"/>
        <rFont val="WenQuanYi Zen Hei"/>
        <family val="2"/>
      </rPr>
      <t xml:space="preserve">③ 充填機導入後 </t>
    </r>
    <r>
      <rPr>
        <b val="true"/>
        <sz val="11"/>
        <color rgb="FF1F3864"/>
        <rFont val="Meiryo UI"/>
        <family val="0"/>
        <charset val="1"/>
      </rPr>
      <t xml:space="preserve">PL</t>
    </r>
    <r>
      <rPr>
        <b val="true"/>
        <sz val="11"/>
        <color rgb="FF1F3864"/>
        <rFont val="WenQuanYi Zen Hei"/>
        <family val="2"/>
      </rPr>
      <t xml:space="preserve">（①＋②）　※黄色行＝充填機導入で変動する科目</t>
    </r>
  </si>
  <si>
    <t xml:space="preserve">← 明細の合計（再計算）</t>
  </si>
  <si>
    <t xml:space="preserve">← 充填機導入による増減を反映</t>
  </si>
  <si>
    <t xml:space="preserve">④ 経常利益　予算比較（導入後が予算を下回らないことの確認）</t>
  </si>
  <si>
    <t xml:space="preserve">経常利益（予算）</t>
  </si>
  <si>
    <r>
      <rPr>
        <sz val="9"/>
        <color rgb="FF808080"/>
        <rFont val="WenQuanYi Zen Hei"/>
        <family val="2"/>
      </rPr>
      <t xml:space="preserve">予算上、</t>
    </r>
    <r>
      <rPr>
        <sz val="9"/>
        <color rgb="FF808080"/>
        <rFont val="Meiryo UI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月・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月・</t>
    </r>
    <r>
      <rPr>
        <sz val="9"/>
        <color rgb="FF808080"/>
        <rFont val="Meiryo UI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月は経常赤字</t>
    </r>
  </si>
  <si>
    <t xml:space="preserve">経常利益（導入後）</t>
  </si>
  <si>
    <t xml:space="preserve">予算差額（導入後 − 予算）</t>
  </si>
  <si>
    <r>
      <rPr>
        <sz val="9"/>
        <color rgb="FF808080"/>
        <rFont val="WenQuanYi Zen Hei"/>
        <family val="2"/>
      </rPr>
      <t xml:space="preserve">電気・付帯工事なしなら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月以降の全月で予算超。工事費を一括費用にすると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月が未達になる場合あり</t>
    </r>
  </si>
  <si>
    <t xml:space="preserve">売上対経常利益率（予算）</t>
  </si>
  <si>
    <t xml:space="preserve">売上対経常利益率（導入後）</t>
  </si>
  <si>
    <r>
      <rPr>
        <b val="true"/>
        <sz val="14"/>
        <color rgb="FF000000"/>
        <rFont val="WenQuanYi Zen Hei"/>
        <family val="2"/>
      </rPr>
      <t xml:space="preserve">白鳥惣菜　ライン月別</t>
    </r>
    <r>
      <rPr>
        <b val="true"/>
        <sz val="14"/>
        <color rgb="FF000000"/>
        <rFont val="Meiryo UI"/>
        <family val="0"/>
        <charset val="1"/>
      </rPr>
      <t xml:space="preserve">PL</t>
    </r>
    <r>
      <rPr>
        <b val="true"/>
        <sz val="14"/>
        <color rgb="FF000000"/>
        <rFont val="WenQuanYi Zen Hei"/>
        <family val="2"/>
      </rPr>
      <t xml:space="preserve">（</t>
    </r>
    <r>
      <rPr>
        <b val="true"/>
        <sz val="14"/>
        <color rgb="FF000000"/>
        <rFont val="Meiryo UI"/>
        <family val="0"/>
        <charset val="1"/>
      </rPr>
      <t xml:space="preserve">17</t>
    </r>
    <r>
      <rPr>
        <b val="true"/>
        <sz val="14"/>
        <color rgb="FF000000"/>
        <rFont val="WenQuanYi Zen Hei"/>
        <family val="2"/>
      </rPr>
      <t xml:space="preserve">期 実績＋予算見込）　充填機導入（</t>
    </r>
    <r>
      <rPr>
        <b val="true"/>
        <sz val="14"/>
        <color rgb="FF000000"/>
        <rFont val="Meiryo UI"/>
        <family val="0"/>
        <charset val="1"/>
      </rPr>
      <t xml:space="preserve">2027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Meiryo UI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月</t>
    </r>
    <r>
      <rPr>
        <b val="true"/>
        <sz val="14"/>
        <color rgb="FF000000"/>
        <rFont val="Meiryo UI"/>
        <family val="0"/>
        <charset val="1"/>
      </rPr>
      <t xml:space="preserve">1</t>
    </r>
    <r>
      <rPr>
        <b val="true"/>
        <sz val="14"/>
        <color rgb="FF000000"/>
        <rFont val="WenQuanYi Zen Hei"/>
        <family val="2"/>
      </rPr>
      <t xml:space="preserve">日）効果</t>
    </r>
  </si>
  <si>
    <r>
      <rPr>
        <sz val="9"/>
        <color rgb="FF808080"/>
        <rFont val="WenQuanYi Zen Hei"/>
        <family val="2"/>
      </rPr>
      <t xml:space="preserve">単位：千円　</t>
    </r>
    <r>
      <rPr>
        <sz val="9"/>
        <color rgb="FF808080"/>
        <rFont val="Meiryo UI"/>
        <family val="0"/>
        <charset val="1"/>
      </rPr>
      <t xml:space="preserve">7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Meiryo UI"/>
        <family val="0"/>
        <charset val="1"/>
      </rPr>
      <t xml:space="preserve">9</t>
    </r>
    <r>
      <rPr>
        <sz val="9"/>
        <color rgb="FF808080"/>
        <rFont val="WenQuanYi Zen Hei"/>
        <family val="2"/>
      </rPr>
      <t xml:space="preserve">月＝実績、</t>
    </r>
    <r>
      <rPr>
        <sz val="9"/>
        <color rgb="FF808080"/>
        <rFont val="Meiryo UI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月〜</t>
    </r>
    <r>
      <rPr>
        <sz val="9"/>
        <color rgb="FF808080"/>
        <rFont val="Meiryo UI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月＝</t>
    </r>
    <r>
      <rPr>
        <sz val="9"/>
        <color rgb="FF808080"/>
        <rFont val="Meiryo UI"/>
        <family val="0"/>
        <charset val="1"/>
      </rPr>
      <t xml:space="preserve">17</t>
    </r>
    <r>
      <rPr>
        <sz val="9"/>
        <color rgb="FF808080"/>
        <rFont val="WenQuanYi Zen Hei"/>
        <family val="2"/>
      </rPr>
      <t xml:space="preserve">期予算（見込）。②は「白鳥惣菜</t>
    </r>
    <r>
      <rPr>
        <sz val="9"/>
        <color rgb="FF808080"/>
        <rFont val="Meiryo UI"/>
        <family val="0"/>
        <charset val="1"/>
      </rPr>
      <t xml:space="preserve">PL_</t>
    </r>
    <r>
      <rPr>
        <sz val="9"/>
        <color rgb="FF808080"/>
        <rFont val="WenQuanYi Zen Hei"/>
        <family val="2"/>
      </rPr>
      <t xml:space="preserve">導入効果」シートの増減を参照</t>
    </r>
  </si>
  <si>
    <r>
      <rPr>
        <b val="true"/>
        <sz val="10"/>
        <color rgb="FFFFFFFF"/>
        <rFont val="Meiryo UI"/>
        <family val="0"/>
        <charset val="1"/>
      </rPr>
      <t xml:space="preserve">17</t>
    </r>
    <r>
      <rPr>
        <b val="true"/>
        <sz val="10"/>
        <color rgb="FFFFFFFF"/>
        <rFont val="WenQuanYi Zen Hei"/>
        <family val="2"/>
      </rPr>
      <t xml:space="preserve">期合計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実績</t>
    </r>
    <r>
      <rPr>
        <b val="true"/>
        <sz val="10"/>
        <color rgb="FFFFFFFF"/>
        <rFont val="Meiryo UI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見込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</si>
  <si>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（区分）</t>
  </si>
  <si>
    <t xml:space="preserve">実績</t>
  </si>
  <si>
    <r>
      <rPr>
        <b val="true"/>
        <sz val="11"/>
        <color rgb="FF1F3864"/>
        <rFont val="Meiryo UI"/>
        <family val="0"/>
        <charset val="1"/>
      </rPr>
      <t xml:space="preserve">① 17</t>
    </r>
    <r>
      <rPr>
        <b val="true"/>
        <sz val="11"/>
        <color rgb="FF1F3864"/>
        <rFont val="WenQuanYi Zen Hei"/>
        <family val="2"/>
      </rPr>
      <t xml:space="preserve">期 実績（</t>
    </r>
    <r>
      <rPr>
        <b val="true"/>
        <sz val="11"/>
        <color rgb="FF1F3864"/>
        <rFont val="Meiryo UI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〜</t>
    </r>
    <r>
      <rPr>
        <b val="true"/>
        <sz val="11"/>
        <color rgb="FF1F3864"/>
        <rFont val="Meiryo UI"/>
        <family val="0"/>
        <charset val="1"/>
      </rPr>
      <t xml:space="preserve">9</t>
    </r>
    <r>
      <rPr>
        <b val="true"/>
        <sz val="11"/>
        <color rgb="FF1F3864"/>
        <rFont val="WenQuanYi Zen Hei"/>
        <family val="2"/>
      </rPr>
      <t xml:space="preserve">月）＋予算見込（</t>
    </r>
    <r>
      <rPr>
        <b val="true"/>
        <sz val="11"/>
        <color rgb="FF1F3864"/>
        <rFont val="Meiryo UI"/>
        <family val="0"/>
        <charset val="1"/>
      </rPr>
      <t xml:space="preserve">10</t>
    </r>
    <r>
      <rPr>
        <b val="true"/>
        <sz val="11"/>
        <color rgb="FF1F3864"/>
        <rFont val="WenQuanYi Zen Hei"/>
        <family val="2"/>
      </rPr>
      <t xml:space="preserve">〜</t>
    </r>
    <r>
      <rPr>
        <b val="true"/>
        <sz val="11"/>
        <color rgb="FF1F3864"/>
        <rFont val="Meiryo UI"/>
        <family val="0"/>
        <charset val="1"/>
      </rPr>
      <t xml:space="preserve">6</t>
    </r>
    <r>
      <rPr>
        <b val="true"/>
        <sz val="11"/>
        <color rgb="FF1F3864"/>
        <rFont val="WenQuanYi Zen Hei"/>
        <family val="2"/>
      </rPr>
      <t xml:space="preserve">月）　※充填機導入前</t>
    </r>
  </si>
  <si>
    <r>
      <rPr>
        <b val="true"/>
        <sz val="11"/>
        <color rgb="FF1F3864"/>
        <rFont val="WenQuanYi Zen Hei"/>
        <family val="2"/>
      </rPr>
      <t xml:space="preserve">② 充填機導入による増減（「白鳥惣菜</t>
    </r>
    <r>
      <rPr>
        <b val="true"/>
        <sz val="11"/>
        <color rgb="FF1F3864"/>
        <rFont val="Meiryo UI"/>
        <family val="0"/>
        <charset val="1"/>
      </rPr>
      <t xml:space="preserve">PL_</t>
    </r>
    <r>
      <rPr>
        <b val="true"/>
        <sz val="11"/>
        <color rgb="FF1F3864"/>
        <rFont val="WenQuanYi Zen Hei"/>
        <family val="2"/>
      </rPr>
      <t xml:space="preserve">導入効果」シート②と同じ）</t>
    </r>
  </si>
  <si>
    <r>
      <rPr>
        <b val="true"/>
        <sz val="11"/>
        <color rgb="FF1F3864"/>
        <rFont val="WenQuanYi Zen Hei"/>
        <family val="2"/>
      </rPr>
      <t xml:space="preserve">③ 充填機導入後 </t>
    </r>
    <r>
      <rPr>
        <b val="true"/>
        <sz val="11"/>
        <color rgb="FF1F3864"/>
        <rFont val="Meiryo UI"/>
        <family val="0"/>
        <charset val="1"/>
      </rPr>
      <t xml:space="preserve">PL</t>
    </r>
    <r>
      <rPr>
        <b val="true"/>
        <sz val="11"/>
        <color rgb="FF1F3864"/>
        <rFont val="WenQuanYi Zen Hei"/>
        <family val="2"/>
      </rPr>
      <t xml:space="preserve">（実績＋予算見込＋②）　※黄色行＝充填機導入で変動する科目</t>
    </r>
  </si>
  <si>
    <t xml:space="preserve">④ 経常利益の比較（予算／実績＋見込）</t>
  </si>
  <si>
    <r>
      <rPr>
        <b val="true"/>
        <sz val="10"/>
        <color rgb="FF000000"/>
        <rFont val="WenQuanYi Zen Hei"/>
        <family val="2"/>
      </rPr>
      <t xml:space="preserve">経常利益　</t>
    </r>
    <r>
      <rPr>
        <b val="true"/>
        <sz val="10"/>
        <color rgb="FF000000"/>
        <rFont val="Meiryo UI"/>
        <family val="0"/>
        <charset val="1"/>
      </rPr>
      <t xml:space="preserve">17</t>
    </r>
    <r>
      <rPr>
        <b val="true"/>
        <sz val="10"/>
        <color rgb="FF000000"/>
        <rFont val="WenQuanYi Zen Hei"/>
        <family val="2"/>
      </rPr>
      <t xml:space="preserve">期予算</t>
    </r>
  </si>
  <si>
    <t xml:space="preserve">経常利益　実績＋見込（導入前）</t>
  </si>
  <si>
    <t xml:space="preserve">経常利益　実績＋見込（導入後）</t>
  </si>
  <si>
    <t xml:space="preserve">予算差（導入後 − 予算）</t>
  </si>
  <si>
    <r>
      <rPr>
        <sz val="9"/>
        <color rgb="FF808080"/>
        <rFont val="WenQuanYi Zen Hei"/>
        <family val="2"/>
      </rPr>
      <t xml:space="preserve">下期（</t>
    </r>
    <r>
      <rPr>
        <sz val="9"/>
        <color rgb="FF808080"/>
        <rFont val="Meiryo UI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Meiryo UI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月）は予算見込のため、充填機分だけ予算を上回る</t>
    </r>
  </si>
  <si>
    <t xml:space="preserve">　うち 実績による差（導入前 − 予算）</t>
  </si>
  <si>
    <r>
      <rPr>
        <sz val="9"/>
        <color rgb="FF808080"/>
        <rFont val="Meiryo UI"/>
        <family val="0"/>
        <charset val="1"/>
      </rPr>
      <t xml:space="preserve">7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Meiryo UI"/>
        <family val="0"/>
        <charset val="1"/>
      </rPr>
      <t xml:space="preserve">9</t>
    </r>
    <r>
      <rPr>
        <sz val="9"/>
        <color rgb="FF808080"/>
        <rFont val="WenQuanYi Zen Hei"/>
        <family val="2"/>
      </rPr>
      <t xml:space="preserve">月の実績による予算との差（充填機とは無関係）</t>
    </r>
  </si>
  <si>
    <t xml:space="preserve">　うち 充填機の導入効果（導入後 − 導入前）</t>
  </si>
  <si>
    <r>
      <rPr>
        <sz val="9"/>
        <color rgb="FF808080"/>
        <rFont val="WenQuanYi Zen Hei"/>
        <family val="2"/>
      </rPr>
      <t xml:space="preserve">充填機は</t>
    </r>
    <r>
      <rPr>
        <sz val="9"/>
        <color rgb="FF808080"/>
        <rFont val="Meiryo UI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月以降、毎月この分だけ経常利益を押し上げる</t>
    </r>
  </si>
  <si>
    <r>
      <rPr>
        <sz val="10"/>
        <color rgb="FF000000"/>
        <rFont val="WenQuanYi Zen Hei"/>
        <family val="2"/>
      </rPr>
      <t xml:space="preserve">判定（導入後 </t>
    </r>
    <r>
      <rPr>
        <sz val="10"/>
        <color rgb="FF000000"/>
        <rFont val="Meiryo UI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予算）</t>
    </r>
  </si>
  <si>
    <r>
      <rPr>
        <sz val="9"/>
        <color rgb="FF000000"/>
        <rFont val="WenQuanYi Zen Hei"/>
        <family val="2"/>
      </rPr>
      <t xml:space="preserve">・充填機の効果は導入月（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月）から発生し、下期の各月で経常利益を押し上げる。減価償却費を差し引いても毎月プラス。</t>
    </r>
  </si>
  <si>
    <r>
      <rPr>
        <sz val="9"/>
        <color rgb="FF000000"/>
        <rFont val="WenQuanYi Zen Hei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月以降は</t>
    </r>
    <r>
      <rPr>
        <sz val="9"/>
        <color rgb="FF000000"/>
        <rFont val="Meiryo UI"/>
        <family val="0"/>
        <charset val="1"/>
      </rPr>
      <t xml:space="preserve">17</t>
    </r>
    <r>
      <rPr>
        <sz val="9"/>
        <color rgb="FF000000"/>
        <rFont val="WenQuanYi Zen Hei"/>
        <family val="2"/>
      </rPr>
      <t xml:space="preserve">期予算を見込として使用。実績が出たら「実績原本」シートに追加し、この表の該当月を実績参照に切り替える。</t>
    </r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</si>
</sst>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0\台"/>
    <numFmt numFmtId="166" formatCode="#,##0\円"/>
    <numFmt numFmtId="167" formatCode="yyyy\年m\月d\日"/>
    <numFmt numFmtId="168" formatCode="#,##0&quot;円/月（10年定額）&quot;"/>
    <numFmt numFmtId="169" formatCode="#,##0\円;;&quot;未定（0円で試算）&quot;"/>
    <numFmt numFmtId="170" formatCode="0&quot;か月&quot;"/>
    <numFmt numFmtId="171" formatCode="yyyy\年m\月"/>
    <numFmt numFmtId="172" formatCode="\+#,##0\円;[RED]\▲#,##0\円"/>
    <numFmt numFmtId="173" formatCode="0.0%"/>
    <numFmt numFmtId="174" formatCode="0.0&quot;時間/日&quot;"/>
    <numFmt numFmtId="175" formatCode="#,##0&quot;円/日&quot;"/>
    <numFmt numFmtId="176" formatCode="#,##0&quot;円/日&quot;;[RED]\▲#,##0&quot;円/日&quot;"/>
    <numFmt numFmtId="177" formatCode="#,##0;[RED]\▲#,##0;\-"/>
    <numFmt numFmtId="178" formatCode="0"/>
    <numFmt numFmtId="179" formatCode="#,##0;[RED]\▲#,##0"/>
    <numFmt numFmtId="180" formatCode="yyyy/m/d"/>
    <numFmt numFmtId="181" formatCode="0.0"/>
    <numFmt numFmtId="182" formatCode="0.0%;[RED]\▲0.0%;\-"/>
    <numFmt numFmtId="183" formatCode="h:mm"/>
    <numFmt numFmtId="184" formatCode="0.00"/>
    <numFmt numFmtId="185" formatCode="@"/>
    <numFmt numFmtId="186" formatCode="yyyy/m"/>
    <numFmt numFmtId="187" formatCode="0\期"/>
    <numFmt numFmtId="188" formatCode="0%"/>
    <numFmt numFmtId="189" formatCode="#,##0.0;[RED]\▲#,##0.0;\-"/>
    <numFmt numFmtId="190" formatCode="0;\-0;\-"/>
    <numFmt numFmtId="191" formatCode="0.0\倍"/>
    <numFmt numFmtId="192" formatCode="0.00%;[RED]\▲0.00%;\-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WenQuanYi Zen Hei"/>
      <family val="2"/>
    </font>
    <font>
      <sz val="10"/>
      <color rgb="FF808080"/>
      <name val="Meiryo UI"/>
      <family val="0"/>
      <charset val="1"/>
    </font>
    <font>
      <sz val="10"/>
      <color rgb="FF808080"/>
      <name val="WenQuanYi Zen Hei"/>
      <family val="2"/>
    </font>
    <font>
      <b val="true"/>
      <sz val="11"/>
      <color rgb="FF1F3864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Meiryo UI"/>
      <family val="0"/>
      <charset val="1"/>
    </font>
    <font>
      <sz val="10"/>
      <color rgb="FF008000"/>
      <name val="Meiryo UI"/>
      <family val="0"/>
      <charset val="1"/>
    </font>
    <font>
      <sz val="10"/>
      <color rgb="FF008000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2"/>
      <color rgb="FF008000"/>
      <name val="Meiryo UI"/>
      <family val="0"/>
      <charset val="1"/>
    </font>
    <font>
      <sz val="9"/>
      <color rgb="FF808080"/>
      <name val="WenQuanYi Zen Hei"/>
      <family val="2"/>
    </font>
    <font>
      <sz val="9"/>
      <color rgb="FF808080"/>
      <name val="Meiryo UI"/>
      <family val="0"/>
      <charset val="1"/>
    </font>
    <font>
      <b val="true"/>
      <sz val="10"/>
      <color rgb="FF000000"/>
      <name val="Meiryo UI"/>
      <family val="0"/>
      <charset val="1"/>
    </font>
    <font>
      <b val="true"/>
      <sz val="11"/>
      <color rgb="FF1F3864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008000"/>
      <name val="Meiryo UI"/>
      <family val="0"/>
      <charset val="1"/>
    </font>
    <font>
      <b val="true"/>
      <sz val="10"/>
      <color rgb="FF00800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Meiryo UI"/>
      <family val="0"/>
      <charset val="1"/>
    </font>
    <font>
      <sz val="10"/>
      <color rgb="FF0000FF"/>
      <name val="Meiryo UI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3864"/>
      <name val="WenQuanYi Zen Hei"/>
      <family val="2"/>
    </font>
    <font>
      <b val="true"/>
      <sz val="12"/>
      <color rgb="FF000000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Meiryo UI"/>
      <family val="0"/>
      <charset val="1"/>
    </font>
    <font>
      <b val="true"/>
      <sz val="16"/>
      <color rgb="FF1F3864"/>
      <name val="Meiryo UI"/>
      <family val="0"/>
      <charset val="1"/>
    </font>
    <font>
      <b val="true"/>
      <sz val="14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 UI"/>
      <family val="0"/>
      <charset val="1"/>
    </font>
    <font>
      <b val="true"/>
      <sz val="14"/>
      <color rgb="FF000000"/>
      <name val="Meiryo UI"/>
      <family val="0"/>
      <charset val="1"/>
    </font>
    <font>
      <b val="true"/>
      <sz val="10"/>
      <color rgb="FFC00000"/>
      <name val="Meiryo UI"/>
      <family val="0"/>
      <charset val="1"/>
    </font>
    <font>
      <b val="true"/>
      <sz val="13"/>
      <color rgb="FF000000"/>
      <name val="WenQuanYi Zen Hei"/>
      <family val="2"/>
    </font>
    <font>
      <b val="true"/>
      <sz val="13"/>
      <color rgb="FF000000"/>
      <name val="Meiryo UI"/>
      <family val="0"/>
      <charset val="1"/>
    </font>
    <font>
      <sz val="10"/>
      <color rgb="FF0000FF"/>
      <name val="WenQuanYi Zen Hei"/>
      <family val="2"/>
    </font>
    <font>
      <sz val="8"/>
      <color rgb="FF808080"/>
      <name val="WenQuanYi Zen Hei"/>
      <family val="2"/>
    </font>
    <font>
      <sz val="8"/>
      <color rgb="FF808080"/>
      <name val="Meiryo UI"/>
      <family val="0"/>
      <charset val="1"/>
    </font>
    <font>
      <b val="true"/>
      <sz val="9"/>
      <color rgb="FFC55A11"/>
      <name val="WenQuanYi Zen Hei"/>
      <family val="2"/>
    </font>
    <font>
      <b val="true"/>
      <sz val="9"/>
      <color rgb="FF80808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F2CC"/>
        </patternFill>
      </fill>
    </dxf>
    <dxf>
      <border diagonalUp="false" diagonalDown="false">
        <left/>
        <right/>
        <top style="thin">
          <color rgb="FF1F3864"/>
        </top>
        <bottom/>
        <diagonal/>
      </border>
    </dxf>
    <dxf>
      <font>
        <name val="Meiryo UI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F8CBAD"/>
      <rgbColor rgb="FF4A7EBB"/>
      <rgbColor rgb="FF33CCCC"/>
      <rgbColor rgb="FF9BBB59"/>
      <rgbColor rgb="FFFFCC00"/>
      <rgbColor rgb="FFFF9900"/>
      <rgbColor rgb="FFC55A11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下期 経常利益：予算 vs 導入後（千円）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サマリー!B35</c:f>
              <c:strCache>
                <c:ptCount val="1"/>
                <c:pt idx="0">
                  <c:v>予算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サマリー!$C$34:$H$34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サマリー!$C$35:$H$35</c:f>
              <c:numCache>
                <c:formatCode>#,##0;[RED]\▲#,##0;\-</c:formatCode>
                <c:ptCount val="6"/>
                <c:pt idx="0">
                  <c:v>-2319.89610000001</c:v>
                </c:pt>
                <c:pt idx="1">
                  <c:v>-2565.48170000003</c:v>
                </c:pt>
                <c:pt idx="2">
                  <c:v>3454.53829999999</c:v>
                </c:pt>
                <c:pt idx="3">
                  <c:v>3740.43829999998</c:v>
                </c:pt>
                <c:pt idx="4">
                  <c:v>2410.43829999998</c:v>
                </c:pt>
                <c:pt idx="5">
                  <c:v>-3722.29310000001</c:v>
                </c:pt>
              </c:numCache>
            </c:numRef>
          </c:val>
        </c:ser>
        <c:ser>
          <c:idx val="1"/>
          <c:order val="1"/>
          <c:tx>
            <c:strRef>
              <c:f>サマリー!B36</c:f>
              <c:strCache>
                <c:ptCount val="1"/>
                <c:pt idx="0">
                  <c:v>導入後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サマリー!$C$34:$H$34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サマリー!$C$36:$H$36</c:f>
              <c:numCache>
                <c:formatCode>#,##0;[RED]\▲#,##0;\-</c:formatCode>
                <c:ptCount val="6"/>
                <c:pt idx="0">
                  <c:v>-2319.89610000001</c:v>
                </c:pt>
                <c:pt idx="1">
                  <c:v>-2456.84036666667</c:v>
                </c:pt>
                <c:pt idx="2">
                  <c:v>3580.08763333334</c:v>
                </c:pt>
                <c:pt idx="3">
                  <c:v>3860.35163333331</c:v>
                </c:pt>
                <c:pt idx="4">
                  <c:v>2535.98763333331</c:v>
                </c:pt>
                <c:pt idx="5">
                  <c:v>-3602.37976666668</c:v>
                </c:pt>
              </c:numCache>
            </c:numRef>
          </c:val>
        </c:ser>
        <c:gapWidth val="150"/>
        <c:overlap val="0"/>
        <c:axId val="3828346"/>
        <c:axId val="50733976"/>
      </c:barChart>
      <c:catAx>
        <c:axId val="3828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33976"/>
        <c:crosses val="autoZero"/>
        <c:auto val="1"/>
        <c:lblAlgn val="ctr"/>
        <c:lblOffset val="100"/>
        <c:noMultiLvlLbl val="0"/>
      </c:catAx>
      <c:valAx>
        <c:axId val="50733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▲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8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累計キャッシュ（純効果）と投資額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投資回収_月次!K7</c:f>
              <c:strCache>
                <c:ptCount val="1"/>
                <c:pt idx="0">
                  <c:v>累計CF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投資回収_月次!$A$8:$A$67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投資回収_月次!$K$8:$K$67</c:f>
              <c:numCache>
                <c:formatCode>#,##0;[RED]\▲#,##0;\-</c:formatCode>
                <c:ptCount val="60"/>
                <c:pt idx="0">
                  <c:v>150308</c:v>
                </c:pt>
                <c:pt idx="1">
                  <c:v>317524</c:v>
                </c:pt>
                <c:pt idx="2">
                  <c:v>479104</c:v>
                </c:pt>
                <c:pt idx="3">
                  <c:v>646320</c:v>
                </c:pt>
                <c:pt idx="4">
                  <c:v>807900</c:v>
                </c:pt>
                <c:pt idx="5">
                  <c:v>975116</c:v>
                </c:pt>
                <c:pt idx="6">
                  <c:v>1142332</c:v>
                </c:pt>
                <c:pt idx="7">
                  <c:v>1303912</c:v>
                </c:pt>
                <c:pt idx="8">
                  <c:v>1471128</c:v>
                </c:pt>
                <c:pt idx="9">
                  <c:v>1632708</c:v>
                </c:pt>
                <c:pt idx="10">
                  <c:v>1799924</c:v>
                </c:pt>
                <c:pt idx="11">
                  <c:v>1967140</c:v>
                </c:pt>
                <c:pt idx="12">
                  <c:v>2123084</c:v>
                </c:pt>
                <c:pt idx="13">
                  <c:v>2290300</c:v>
                </c:pt>
                <c:pt idx="14">
                  <c:v>2451880</c:v>
                </c:pt>
                <c:pt idx="15">
                  <c:v>2619096</c:v>
                </c:pt>
                <c:pt idx="16">
                  <c:v>2780676</c:v>
                </c:pt>
                <c:pt idx="17">
                  <c:v>2947892</c:v>
                </c:pt>
                <c:pt idx="18">
                  <c:v>3115108</c:v>
                </c:pt>
                <c:pt idx="19">
                  <c:v>3276688</c:v>
                </c:pt>
                <c:pt idx="20">
                  <c:v>3443904</c:v>
                </c:pt>
                <c:pt idx="21">
                  <c:v>3605484</c:v>
                </c:pt>
                <c:pt idx="22">
                  <c:v>3772700</c:v>
                </c:pt>
                <c:pt idx="23">
                  <c:v>3939916</c:v>
                </c:pt>
                <c:pt idx="24">
                  <c:v>4090224</c:v>
                </c:pt>
                <c:pt idx="25">
                  <c:v>4257440</c:v>
                </c:pt>
                <c:pt idx="26">
                  <c:v>4419020</c:v>
                </c:pt>
                <c:pt idx="27">
                  <c:v>4586236</c:v>
                </c:pt>
                <c:pt idx="28">
                  <c:v>4747816</c:v>
                </c:pt>
                <c:pt idx="29">
                  <c:v>4915032</c:v>
                </c:pt>
                <c:pt idx="30">
                  <c:v>5082248</c:v>
                </c:pt>
                <c:pt idx="31">
                  <c:v>5243828</c:v>
                </c:pt>
                <c:pt idx="32">
                  <c:v>5411044</c:v>
                </c:pt>
                <c:pt idx="33">
                  <c:v>5572624</c:v>
                </c:pt>
                <c:pt idx="34">
                  <c:v>5739840</c:v>
                </c:pt>
                <c:pt idx="35">
                  <c:v>5907056</c:v>
                </c:pt>
                <c:pt idx="36">
                  <c:v>6057364</c:v>
                </c:pt>
                <c:pt idx="37">
                  <c:v>6224580</c:v>
                </c:pt>
                <c:pt idx="38">
                  <c:v>6386160</c:v>
                </c:pt>
                <c:pt idx="39">
                  <c:v>6553376</c:v>
                </c:pt>
                <c:pt idx="40">
                  <c:v>6714956</c:v>
                </c:pt>
                <c:pt idx="41">
                  <c:v>6882172</c:v>
                </c:pt>
                <c:pt idx="42">
                  <c:v>7049388</c:v>
                </c:pt>
                <c:pt idx="43">
                  <c:v>7210968</c:v>
                </c:pt>
                <c:pt idx="44">
                  <c:v>7378184</c:v>
                </c:pt>
                <c:pt idx="45">
                  <c:v>7539764</c:v>
                </c:pt>
                <c:pt idx="46">
                  <c:v>7706980</c:v>
                </c:pt>
                <c:pt idx="47">
                  <c:v>7874196</c:v>
                </c:pt>
                <c:pt idx="48">
                  <c:v>8024504</c:v>
                </c:pt>
                <c:pt idx="49">
                  <c:v>8191720</c:v>
                </c:pt>
                <c:pt idx="50">
                  <c:v>8353300</c:v>
                </c:pt>
                <c:pt idx="51">
                  <c:v>8520516</c:v>
                </c:pt>
                <c:pt idx="52">
                  <c:v>8682096</c:v>
                </c:pt>
                <c:pt idx="53">
                  <c:v>8849312</c:v>
                </c:pt>
                <c:pt idx="54">
                  <c:v>9016528</c:v>
                </c:pt>
                <c:pt idx="55">
                  <c:v>9178108</c:v>
                </c:pt>
                <c:pt idx="56">
                  <c:v>9345324</c:v>
                </c:pt>
                <c:pt idx="57">
                  <c:v>9506904</c:v>
                </c:pt>
                <c:pt idx="58">
                  <c:v>9674120</c:v>
                </c:pt>
                <c:pt idx="59">
                  <c:v>9841336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投資回収_月次!O7</c:f>
              <c:strCache>
                <c:ptCount val="1"/>
                <c:pt idx="0">
                  <c:v>累計利益影響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投資回収_月次!$A$8:$A$67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投資回収_月次!$O$8:$O$67</c:f>
              <c:numCache>
                <c:formatCode>#,##0;[RED]\▲#,##0;\-</c:formatCode>
                <c:ptCount val="60"/>
                <c:pt idx="0">
                  <c:v>108641.333333333</c:v>
                </c:pt>
                <c:pt idx="1">
                  <c:v>234190.666666667</c:v>
                </c:pt>
                <c:pt idx="2">
                  <c:v>354104</c:v>
                </c:pt>
                <c:pt idx="3">
                  <c:v>479653.333333333</c:v>
                </c:pt>
                <c:pt idx="4">
                  <c:v>599566.666666667</c:v>
                </c:pt>
                <c:pt idx="5">
                  <c:v>725116</c:v>
                </c:pt>
                <c:pt idx="6">
                  <c:v>850665.333333333</c:v>
                </c:pt>
                <c:pt idx="7">
                  <c:v>970578.666666667</c:v>
                </c:pt>
                <c:pt idx="8">
                  <c:v>1096128</c:v>
                </c:pt>
                <c:pt idx="9">
                  <c:v>1216041.33333333</c:v>
                </c:pt>
                <c:pt idx="10">
                  <c:v>1341590.66666667</c:v>
                </c:pt>
                <c:pt idx="11">
                  <c:v>1467140</c:v>
                </c:pt>
                <c:pt idx="12">
                  <c:v>1581417.33333333</c:v>
                </c:pt>
                <c:pt idx="13">
                  <c:v>1706966.66666667</c:v>
                </c:pt>
                <c:pt idx="14">
                  <c:v>1826880</c:v>
                </c:pt>
                <c:pt idx="15">
                  <c:v>1952429.33333333</c:v>
                </c:pt>
                <c:pt idx="16">
                  <c:v>2072342.66666667</c:v>
                </c:pt>
                <c:pt idx="17">
                  <c:v>2197892</c:v>
                </c:pt>
                <c:pt idx="18">
                  <c:v>2323441.33333333</c:v>
                </c:pt>
                <c:pt idx="19">
                  <c:v>2443354.66666667</c:v>
                </c:pt>
                <c:pt idx="20">
                  <c:v>2568904</c:v>
                </c:pt>
                <c:pt idx="21">
                  <c:v>2688817.33333333</c:v>
                </c:pt>
                <c:pt idx="22">
                  <c:v>2814366.66666667</c:v>
                </c:pt>
                <c:pt idx="23">
                  <c:v>2939916</c:v>
                </c:pt>
                <c:pt idx="24">
                  <c:v>3048557.33333333</c:v>
                </c:pt>
                <c:pt idx="25">
                  <c:v>3174106.66666667</c:v>
                </c:pt>
                <c:pt idx="26">
                  <c:v>3294020</c:v>
                </c:pt>
                <c:pt idx="27">
                  <c:v>3419569.33333333</c:v>
                </c:pt>
                <c:pt idx="28">
                  <c:v>3539482.66666667</c:v>
                </c:pt>
                <c:pt idx="29">
                  <c:v>3665032</c:v>
                </c:pt>
                <c:pt idx="30">
                  <c:v>3790581.33333334</c:v>
                </c:pt>
                <c:pt idx="31">
                  <c:v>3910494.66666667</c:v>
                </c:pt>
                <c:pt idx="32">
                  <c:v>4036044</c:v>
                </c:pt>
                <c:pt idx="33">
                  <c:v>4155957.33333334</c:v>
                </c:pt>
                <c:pt idx="34">
                  <c:v>4281506.66666667</c:v>
                </c:pt>
                <c:pt idx="35">
                  <c:v>4407056</c:v>
                </c:pt>
                <c:pt idx="36">
                  <c:v>4515697.33333334</c:v>
                </c:pt>
                <c:pt idx="37">
                  <c:v>4641246.66666667</c:v>
                </c:pt>
                <c:pt idx="38">
                  <c:v>4761160</c:v>
                </c:pt>
                <c:pt idx="39">
                  <c:v>4886709.33333333</c:v>
                </c:pt>
                <c:pt idx="40">
                  <c:v>5006622.66666667</c:v>
                </c:pt>
                <c:pt idx="41">
                  <c:v>5132172</c:v>
                </c:pt>
                <c:pt idx="42">
                  <c:v>5257721.33333333</c:v>
                </c:pt>
                <c:pt idx="43">
                  <c:v>5377634.66666667</c:v>
                </c:pt>
                <c:pt idx="44">
                  <c:v>5503184</c:v>
                </c:pt>
                <c:pt idx="45">
                  <c:v>5623097.33333333</c:v>
                </c:pt>
                <c:pt idx="46">
                  <c:v>5748646.66666667</c:v>
                </c:pt>
                <c:pt idx="47">
                  <c:v>5874196</c:v>
                </c:pt>
                <c:pt idx="48">
                  <c:v>5982837.33333333</c:v>
                </c:pt>
                <c:pt idx="49">
                  <c:v>6108386.66666666</c:v>
                </c:pt>
                <c:pt idx="50">
                  <c:v>6228300</c:v>
                </c:pt>
                <c:pt idx="51">
                  <c:v>6353849.33333333</c:v>
                </c:pt>
                <c:pt idx="52">
                  <c:v>6473762.66666666</c:v>
                </c:pt>
                <c:pt idx="53">
                  <c:v>6599312</c:v>
                </c:pt>
                <c:pt idx="54">
                  <c:v>6724861.33333333</c:v>
                </c:pt>
                <c:pt idx="55">
                  <c:v>6844774.66666666</c:v>
                </c:pt>
                <c:pt idx="56">
                  <c:v>6970324</c:v>
                </c:pt>
                <c:pt idx="57">
                  <c:v>7090237.33333333</c:v>
                </c:pt>
                <c:pt idx="58">
                  <c:v>7215786.66666666</c:v>
                </c:pt>
                <c:pt idx="59">
                  <c:v>7341335.99999999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855270"/>
        <c:axId val="40332028"/>
      </c:lineChart>
      <c:catAx>
        <c:axId val="70855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導入後の経過月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32028"/>
        <c:crosses val="autoZero"/>
        <c:auto val="1"/>
        <c:lblAlgn val="ctr"/>
        <c:lblOffset val="100"/>
        <c:noMultiLvlLbl val="0"/>
      </c:catAx>
      <c:valAx>
        <c:axId val="40332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▲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55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期別　純効果と減価償却費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年度別_償却!E4</c:f>
              <c:strCache>
                <c:ptCount val="1"/>
                <c:pt idx="0">
                  <c:v>純効果(CF)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年度別_償却!$B$5:$B$15</c:f>
              <c:strCache>
                <c:ptCount val="11"/>
                <c:pt idx="0">
                  <c:v>48期</c:v>
                </c:pt>
                <c:pt idx="1">
                  <c:v>49期</c:v>
                </c:pt>
                <c:pt idx="2">
                  <c:v>50期</c:v>
                </c:pt>
                <c:pt idx="3">
                  <c:v>51期</c:v>
                </c:pt>
                <c:pt idx="4">
                  <c:v>52期</c:v>
                </c:pt>
                <c:pt idx="5">
                  <c:v>53期</c:v>
                </c:pt>
                <c:pt idx="6">
                  <c:v>54期</c:v>
                </c:pt>
                <c:pt idx="7">
                  <c:v>55期</c:v>
                </c:pt>
                <c:pt idx="8">
                  <c:v>56期</c:v>
                </c:pt>
                <c:pt idx="9">
                  <c:v>57期</c:v>
                </c:pt>
                <c:pt idx="10">
                  <c:v>58期</c:v>
                </c:pt>
              </c:strCache>
            </c:strRef>
          </c:cat>
          <c:val>
            <c:numRef>
              <c:f>年度別_償却!$E$5:$E$15</c:f>
              <c:numCache>
                <c:formatCode>#,##0;[RED]\▲#,##0;\-</c:formatCode>
                <c:ptCount val="11"/>
                <c:pt idx="0">
                  <c:v>807900</c:v>
                </c:pt>
                <c:pt idx="1">
                  <c:v>1972776</c:v>
                </c:pt>
                <c:pt idx="2">
                  <c:v>1967140</c:v>
                </c:pt>
                <c:pt idx="3">
                  <c:v>1967140</c:v>
                </c:pt>
                <c:pt idx="4">
                  <c:v>1967140</c:v>
                </c:pt>
                <c:pt idx="5">
                  <c:v>1972776</c:v>
                </c:pt>
                <c:pt idx="6">
                  <c:v>1967140</c:v>
                </c:pt>
                <c:pt idx="7">
                  <c:v>1967140</c:v>
                </c:pt>
                <c:pt idx="8">
                  <c:v>1967140</c:v>
                </c:pt>
                <c:pt idx="9">
                  <c:v>1972776</c:v>
                </c:pt>
                <c:pt idx="10">
                  <c:v>1159240</c:v>
                </c:pt>
              </c:numCache>
            </c:numRef>
          </c:val>
        </c:ser>
        <c:ser>
          <c:idx val="1"/>
          <c:order val="1"/>
          <c:tx>
            <c:strRef>
              <c:f>年度別_償却!F4</c:f>
              <c:strCache>
                <c:ptCount val="1"/>
                <c:pt idx="0">
                  <c:v>減価償却費
(機械)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年度別_償却!$B$5:$B$15</c:f>
              <c:strCache>
                <c:ptCount val="11"/>
                <c:pt idx="0">
                  <c:v>48期</c:v>
                </c:pt>
                <c:pt idx="1">
                  <c:v>49期</c:v>
                </c:pt>
                <c:pt idx="2">
                  <c:v>50期</c:v>
                </c:pt>
                <c:pt idx="3">
                  <c:v>51期</c:v>
                </c:pt>
                <c:pt idx="4">
                  <c:v>52期</c:v>
                </c:pt>
                <c:pt idx="5">
                  <c:v>53期</c:v>
                </c:pt>
                <c:pt idx="6">
                  <c:v>54期</c:v>
                </c:pt>
                <c:pt idx="7">
                  <c:v>55期</c:v>
                </c:pt>
                <c:pt idx="8">
                  <c:v>56期</c:v>
                </c:pt>
                <c:pt idx="9">
                  <c:v>57期</c:v>
                </c:pt>
                <c:pt idx="10">
                  <c:v>58期</c:v>
                </c:pt>
              </c:strCache>
            </c:strRef>
          </c:cat>
          <c:val>
            <c:numRef>
              <c:f>年度別_償却!$F$5:$F$15</c:f>
              <c:numCache>
                <c:formatCode>#,##0;[RED]\▲#,##0;\-</c:formatCode>
                <c:ptCount val="11"/>
                <c:pt idx="0">
                  <c:v>187500</c:v>
                </c:pt>
                <c:pt idx="1">
                  <c:v>450000</c:v>
                </c:pt>
                <c:pt idx="2">
                  <c:v>450000</c:v>
                </c:pt>
                <c:pt idx="3">
                  <c:v>450000</c:v>
                </c:pt>
                <c:pt idx="4">
                  <c:v>450000</c:v>
                </c:pt>
                <c:pt idx="5">
                  <c:v>450000</c:v>
                </c:pt>
                <c:pt idx="6">
                  <c:v>450000</c:v>
                </c:pt>
                <c:pt idx="7">
                  <c:v>450000</c:v>
                </c:pt>
                <c:pt idx="8">
                  <c:v>450000</c:v>
                </c:pt>
                <c:pt idx="9">
                  <c:v>450000</c:v>
                </c:pt>
                <c:pt idx="10">
                  <c:v>262500</c:v>
                </c:pt>
              </c:numCache>
            </c:numRef>
          </c:val>
        </c:ser>
        <c:ser>
          <c:idx val="2"/>
          <c:order val="2"/>
          <c:tx>
            <c:strRef>
              <c:f>年度別_償却!G4</c:f>
              <c:strCache>
                <c:ptCount val="1"/>
                <c:pt idx="0">
                  <c:v>減価償却費
(電気・付帯工事)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年度別_償却!$B$5:$B$15</c:f>
              <c:strCache>
                <c:ptCount val="11"/>
                <c:pt idx="0">
                  <c:v>48期</c:v>
                </c:pt>
                <c:pt idx="1">
                  <c:v>49期</c:v>
                </c:pt>
                <c:pt idx="2">
                  <c:v>50期</c:v>
                </c:pt>
                <c:pt idx="3">
                  <c:v>51期</c:v>
                </c:pt>
                <c:pt idx="4">
                  <c:v>52期</c:v>
                </c:pt>
                <c:pt idx="5">
                  <c:v>53期</c:v>
                </c:pt>
                <c:pt idx="6">
                  <c:v>54期</c:v>
                </c:pt>
                <c:pt idx="7">
                  <c:v>55期</c:v>
                </c:pt>
                <c:pt idx="8">
                  <c:v>56期</c:v>
                </c:pt>
                <c:pt idx="9">
                  <c:v>57期</c:v>
                </c:pt>
                <c:pt idx="10">
                  <c:v>58期</c:v>
                </c:pt>
              </c:strCache>
            </c:strRef>
          </c:cat>
          <c:val>
            <c:numRef>
              <c:f>年度別_償却!$G$5:$G$15</c:f>
              <c:numCache>
                <c:formatCode>#,##0;[RED]\▲#,##0;\-</c:formatCode>
                <c:ptCount val="11"/>
                <c:pt idx="0">
                  <c:v>20833.3333333333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29166.6666666667</c:v>
                </c:pt>
              </c:numCache>
            </c:numRef>
          </c:val>
        </c:ser>
        <c:ser>
          <c:idx val="3"/>
          <c:order val="3"/>
          <c:tx>
            <c:strRef>
              <c:f>年度別_償却!H4</c:f>
              <c:strCache>
                <c:ptCount val="1"/>
                <c:pt idx="0">
                  <c:v>一括費用
(電気・付帯工事)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年度別_償却!$B$5:$B$15</c:f>
              <c:strCache>
                <c:ptCount val="11"/>
                <c:pt idx="0">
                  <c:v>48期</c:v>
                </c:pt>
                <c:pt idx="1">
                  <c:v>49期</c:v>
                </c:pt>
                <c:pt idx="2">
                  <c:v>50期</c:v>
                </c:pt>
                <c:pt idx="3">
                  <c:v>51期</c:v>
                </c:pt>
                <c:pt idx="4">
                  <c:v>52期</c:v>
                </c:pt>
                <c:pt idx="5">
                  <c:v>53期</c:v>
                </c:pt>
                <c:pt idx="6">
                  <c:v>54期</c:v>
                </c:pt>
                <c:pt idx="7">
                  <c:v>55期</c:v>
                </c:pt>
                <c:pt idx="8">
                  <c:v>56期</c:v>
                </c:pt>
                <c:pt idx="9">
                  <c:v>57期</c:v>
                </c:pt>
                <c:pt idx="10">
                  <c:v>58期</c:v>
                </c:pt>
              </c:strCache>
            </c:strRef>
          </c:cat>
          <c:val>
            <c:numRef>
              <c:f>年度別_償却!$H$5:$H$15</c:f>
              <c:numCache>
                <c:formatCode>#,##0;[RED]\▲#,##0;\-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96704421"/>
        <c:axId val="80402412"/>
      </c:barChart>
      <c:catAx>
        <c:axId val="96704421"/>
        <c:scaling>
          <c:orientation val="minMax"/>
        </c:scaling>
        <c:delete val="0"/>
        <c:axPos val="b"/>
        <c:numFmt formatCode="0\期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02412"/>
        <c:crosses val="autoZero"/>
        <c:auto val="1"/>
        <c:lblAlgn val="ctr"/>
        <c:lblOffset val="100"/>
        <c:noMultiLvlLbl val="0"/>
      </c:catAx>
      <c:valAx>
        <c:axId val="80402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▲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04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経常利益　予算 vs 導入後（千円）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白鳥惣菜PL_導入効果!B152</c:f>
              <c:strCache>
                <c:ptCount val="1"/>
                <c:pt idx="0">
                  <c:v>経常利益（予算）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白鳥惣菜PL_導入効果!$C$4:$N$4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白鳥惣菜PL_導入効果!$C$152:$N$152</c:f>
              <c:numCache>
                <c:formatCode>#,##0;[RED]\▲#,##0;\-</c:formatCode>
                <c:ptCount val="12"/>
                <c:pt idx="0">
                  <c:v>4992.25329999998</c:v>
                </c:pt>
                <c:pt idx="1">
                  <c:v>11406.0076</c:v>
                </c:pt>
                <c:pt idx="2">
                  <c:v>-2807.815</c:v>
                </c:pt>
                <c:pt idx="3">
                  <c:v>1098.96319999997</c:v>
                </c:pt>
                <c:pt idx="4">
                  <c:v>4249.44759999999</c:v>
                </c:pt>
                <c:pt idx="5">
                  <c:v>8054.27110000001</c:v>
                </c:pt>
                <c:pt idx="6">
                  <c:v>-2319.89610000001</c:v>
                </c:pt>
                <c:pt idx="7">
                  <c:v>-2565.48170000003</c:v>
                </c:pt>
                <c:pt idx="8">
                  <c:v>3454.53829999999</c:v>
                </c:pt>
                <c:pt idx="9">
                  <c:v>3740.43829999998</c:v>
                </c:pt>
                <c:pt idx="10">
                  <c:v>2410.43829999998</c:v>
                </c:pt>
                <c:pt idx="11">
                  <c:v>-3722.29310000001</c:v>
                </c:pt>
              </c:numCache>
            </c:numRef>
          </c:val>
        </c:ser>
        <c:ser>
          <c:idx val="1"/>
          <c:order val="1"/>
          <c:tx>
            <c:strRef>
              <c:f>白鳥惣菜PL_導入効果!B153</c:f>
              <c:strCache>
                <c:ptCount val="1"/>
                <c:pt idx="0">
                  <c:v>経常利益（導入後）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白鳥惣菜PL_導入効果!$C$4:$N$4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白鳥惣菜PL_導入効果!$C$153:$N$153</c:f>
              <c:numCache>
                <c:formatCode>#,##0;[RED]\▲#,##0;\-</c:formatCode>
                <c:ptCount val="12"/>
                <c:pt idx="0">
                  <c:v>4992.25329999998</c:v>
                </c:pt>
                <c:pt idx="1">
                  <c:v>11406.0076</c:v>
                </c:pt>
                <c:pt idx="2">
                  <c:v>-2807.815</c:v>
                </c:pt>
                <c:pt idx="3">
                  <c:v>1098.96319999997</c:v>
                </c:pt>
                <c:pt idx="4">
                  <c:v>4249.44759999999</c:v>
                </c:pt>
                <c:pt idx="5">
                  <c:v>8054.27110000001</c:v>
                </c:pt>
                <c:pt idx="6">
                  <c:v>-2319.89610000001</c:v>
                </c:pt>
                <c:pt idx="7">
                  <c:v>-2456.84036666667</c:v>
                </c:pt>
                <c:pt idx="8">
                  <c:v>3580.08763333334</c:v>
                </c:pt>
                <c:pt idx="9">
                  <c:v>3860.35163333331</c:v>
                </c:pt>
                <c:pt idx="10">
                  <c:v>2535.98763333331</c:v>
                </c:pt>
                <c:pt idx="11">
                  <c:v>-3602.37976666668</c:v>
                </c:pt>
              </c:numCache>
            </c:numRef>
          </c:val>
        </c:ser>
        <c:gapWidth val="150"/>
        <c:overlap val="0"/>
        <c:axId val="36262637"/>
        <c:axId val="59275816"/>
      </c:barChart>
      <c:catAx>
        <c:axId val="36262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75816"/>
        <c:crosses val="autoZero"/>
        <c:auto val="1"/>
        <c:lblAlgn val="ctr"/>
        <c:lblOffset val="100"/>
        <c:noMultiLvlLbl val="0"/>
      </c:catAx>
      <c:valAx>
        <c:axId val="59275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▲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62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経常利益　予算 vs 実績＋見込（導入後）（千円）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白鳥惣菜PL_実績見込_導入効果!B149</c:f>
              <c:strCache>
                <c:ptCount val="1"/>
                <c:pt idx="0">
                  <c:v>経常利益　17期予算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白鳥惣菜PL_実績見込_導入効果!$C$4:$N$4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白鳥惣菜PL_実績見込_導入効果!$C$149:$N$149</c:f>
              <c:numCache>
                <c:formatCode>#,##0;[RED]\▲#,##0;\-</c:formatCode>
                <c:ptCount val="12"/>
                <c:pt idx="0">
                  <c:v>4992.25329999998</c:v>
                </c:pt>
                <c:pt idx="1">
                  <c:v>11406.0076</c:v>
                </c:pt>
                <c:pt idx="2">
                  <c:v>-2807.815</c:v>
                </c:pt>
                <c:pt idx="3">
                  <c:v>1098.96319999997</c:v>
                </c:pt>
                <c:pt idx="4">
                  <c:v>4249.44759999999</c:v>
                </c:pt>
                <c:pt idx="5">
                  <c:v>8054.27110000001</c:v>
                </c:pt>
                <c:pt idx="6">
                  <c:v>-2319.89610000001</c:v>
                </c:pt>
                <c:pt idx="7">
                  <c:v>-2565.48170000003</c:v>
                </c:pt>
                <c:pt idx="8">
                  <c:v>3454.53829999999</c:v>
                </c:pt>
                <c:pt idx="9">
                  <c:v>3740.43829999998</c:v>
                </c:pt>
                <c:pt idx="10">
                  <c:v>2410.43829999998</c:v>
                </c:pt>
                <c:pt idx="11">
                  <c:v>-3722.29310000001</c:v>
                </c:pt>
              </c:numCache>
            </c:numRef>
          </c:val>
        </c:ser>
        <c:ser>
          <c:idx val="1"/>
          <c:order val="1"/>
          <c:tx>
            <c:strRef>
              <c:f>白鳥惣菜PL_実績見込_導入効果!B151</c:f>
              <c:strCache>
                <c:ptCount val="1"/>
                <c:pt idx="0">
                  <c:v>経常利益　実績＋見込（導入後）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白鳥惣菜PL_実績見込_導入効果!$C$4:$N$4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白鳥惣菜PL_実績見込_導入効果!$C$151:$N$151</c:f>
              <c:numCache>
                <c:formatCode>#,##0;[RED]\▲#,##0;\-</c:formatCode>
                <c:ptCount val="12"/>
                <c:pt idx="0">
                  <c:v>-21486.8301962976</c:v>
                </c:pt>
                <c:pt idx="1">
                  <c:v>21609.7489785419</c:v>
                </c:pt>
                <c:pt idx="2">
                  <c:v>-1617.35315351354</c:v>
                </c:pt>
                <c:pt idx="3">
                  <c:v>1098.96319999997</c:v>
                </c:pt>
                <c:pt idx="4">
                  <c:v>4249.44759999999</c:v>
                </c:pt>
                <c:pt idx="5">
                  <c:v>8054.27110000001</c:v>
                </c:pt>
                <c:pt idx="6">
                  <c:v>-2319.89610000001</c:v>
                </c:pt>
                <c:pt idx="7">
                  <c:v>-2456.84036666667</c:v>
                </c:pt>
                <c:pt idx="8">
                  <c:v>3580.08763333334</c:v>
                </c:pt>
                <c:pt idx="9">
                  <c:v>3860.35163333331</c:v>
                </c:pt>
                <c:pt idx="10">
                  <c:v>2535.98763333331</c:v>
                </c:pt>
                <c:pt idx="11">
                  <c:v>-3602.37976666668</c:v>
                </c:pt>
              </c:numCache>
            </c:numRef>
          </c:val>
        </c:ser>
        <c:gapWidth val="150"/>
        <c:overlap val="0"/>
        <c:axId val="3105740"/>
        <c:axId val="28978896"/>
      </c:barChart>
      <c:catAx>
        <c:axId val="3105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78896"/>
        <c:crosses val="autoZero"/>
        <c:auto val="1"/>
        <c:lblAlgn val="ctr"/>
        <c:lblOffset val="100"/>
        <c:noMultiLvlLbl val="0"/>
      </c:catAx>
      <c:valAx>
        <c:axId val="28978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▲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5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63</xdr:row>
      <xdr:rowOff>102960</xdr:rowOff>
    </xdr:from>
    <xdr:to>
      <xdr:col>5</xdr:col>
      <xdr:colOff>402840</xdr:colOff>
      <xdr:row>77</xdr:row>
      <xdr:rowOff>135360</xdr:rowOff>
    </xdr:to>
    <xdr:graphicFrame>
      <xdr:nvGraphicFramePr>
        <xdr:cNvPr id="0" name="Chart 1"/>
        <xdr:cNvGraphicFramePr/>
      </xdr:nvGraphicFramePr>
      <xdr:xfrm>
        <a:off x="14112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5</xdr:row>
      <xdr:rowOff>134640</xdr:rowOff>
    </xdr:from>
    <xdr:to>
      <xdr:col>30</xdr:col>
      <xdr:colOff>364680</xdr:colOff>
      <xdr:row>19</xdr:row>
      <xdr:rowOff>156600</xdr:rowOff>
    </xdr:to>
    <xdr:graphicFrame>
      <xdr:nvGraphicFramePr>
        <xdr:cNvPr id="1" name="Chart 1"/>
        <xdr:cNvGraphicFramePr/>
      </xdr:nvGraphicFramePr>
      <xdr:xfrm>
        <a:off x="15342840" y="1143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134640</xdr:rowOff>
    </xdr:from>
    <xdr:to>
      <xdr:col>8</xdr:col>
      <xdr:colOff>136080</xdr:colOff>
      <xdr:row>36</xdr:row>
      <xdr:rowOff>156960</xdr:rowOff>
    </xdr:to>
    <xdr:graphicFrame>
      <xdr:nvGraphicFramePr>
        <xdr:cNvPr id="2" name="Chart 1"/>
        <xdr:cNvGraphicFramePr/>
      </xdr:nvGraphicFramePr>
      <xdr:xfrm>
        <a:off x="141120" y="4381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158</xdr:row>
      <xdr:rowOff>134640</xdr:rowOff>
    </xdr:from>
    <xdr:to>
      <xdr:col>9</xdr:col>
      <xdr:colOff>622440</xdr:colOff>
      <xdr:row>173</xdr:row>
      <xdr:rowOff>156960</xdr:rowOff>
    </xdr:to>
    <xdr:graphicFrame>
      <xdr:nvGraphicFramePr>
        <xdr:cNvPr id="3" name="Chart 1"/>
        <xdr:cNvGraphicFramePr/>
      </xdr:nvGraphicFramePr>
      <xdr:xfrm>
        <a:off x="141120" y="25908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160</xdr:row>
      <xdr:rowOff>134640</xdr:rowOff>
    </xdr:from>
    <xdr:to>
      <xdr:col>8</xdr:col>
      <xdr:colOff>658080</xdr:colOff>
      <xdr:row>175</xdr:row>
      <xdr:rowOff>156600</xdr:rowOff>
    </xdr:to>
    <xdr:graphicFrame>
      <xdr:nvGraphicFramePr>
        <xdr:cNvPr id="4" name="Chart 1"/>
        <xdr:cNvGraphicFramePr/>
      </xdr:nvGraphicFramePr>
      <xdr:xfrm>
        <a:off x="141120" y="26289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9" min="4" style="0" width="12"/>
    <col collapsed="false" customWidth="true" hidden="false" outlineLevel="0" max="10" min="10" style="0" width="11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B5" s="5" t="s">
        <v>3</v>
      </c>
      <c r="C5" s="5" t="s">
        <v>4</v>
      </c>
    </row>
    <row r="6" customFormat="false" ht="15" hidden="false" customHeight="false" outlineLevel="0" collapsed="false">
      <c r="B6" s="5" t="s">
        <v>5</v>
      </c>
      <c r="C6" s="6" t="n">
        <f aca="false">前提条件!C6</f>
        <v>2</v>
      </c>
    </row>
    <row r="7" customFormat="false" ht="15" hidden="false" customHeight="false" outlineLevel="0" collapsed="false">
      <c r="B7" s="5" t="s">
        <v>6</v>
      </c>
      <c r="C7" s="7" t="n">
        <f aca="false">前提条件!C8</f>
        <v>4500000</v>
      </c>
    </row>
    <row r="8" customFormat="false" ht="15" hidden="false" customHeight="false" outlineLevel="0" collapsed="false">
      <c r="B8" s="5" t="s">
        <v>7</v>
      </c>
      <c r="C8" s="5" t="s">
        <v>8</v>
      </c>
    </row>
    <row r="9" customFormat="false" ht="15" hidden="false" customHeight="false" outlineLevel="0" collapsed="false">
      <c r="B9" s="5" t="s">
        <v>9</v>
      </c>
      <c r="C9" s="8" t="n">
        <f aca="false">前提条件!C11</f>
        <v>46419</v>
      </c>
    </row>
    <row r="10" customFormat="false" ht="15" hidden="false" customHeight="false" outlineLevel="0" collapsed="false">
      <c r="B10" s="5" t="s">
        <v>10</v>
      </c>
      <c r="C10" s="9" t="n">
        <f aca="false">前提条件!C10</f>
        <v>37500</v>
      </c>
    </row>
    <row r="11" customFormat="false" ht="15" hidden="false" customHeight="false" outlineLevel="0" collapsed="false">
      <c r="B11" s="5" t="s">
        <v>11</v>
      </c>
      <c r="C11" s="10" t="n">
        <f aca="false">前提条件!C85</f>
        <v>500000</v>
      </c>
    </row>
    <row r="12" customFormat="false" ht="15" hidden="false" customHeight="false" outlineLevel="0" collapsed="false">
      <c r="B12" s="5" t="s">
        <v>12</v>
      </c>
      <c r="C12" s="11" t="str">
        <f aca="false">前提条件!C87</f>
        <v>機械の付随費用として資産計上（機械と同じ10年償却）</v>
      </c>
    </row>
    <row r="13" customFormat="false" ht="15" hidden="false" customHeight="false" outlineLevel="0" collapsed="false">
      <c r="B13" s="5" t="s">
        <v>13</v>
      </c>
      <c r="C13" s="7" t="n">
        <f aca="false">前提条件!C94</f>
        <v>5000000</v>
      </c>
    </row>
    <row r="15" customFormat="false" ht="15" hidden="false" customHeight="false" outlineLevel="0" collapsed="false">
      <c r="B15" s="3" t="s">
        <v>14</v>
      </c>
      <c r="C15" s="4"/>
      <c r="D15" s="4"/>
      <c r="E15" s="4"/>
      <c r="F15" s="4"/>
      <c r="G15" s="4"/>
      <c r="H15" s="4"/>
      <c r="I15" s="4"/>
    </row>
    <row r="16" customFormat="false" ht="17.15" hidden="false" customHeight="false" outlineLevel="0" collapsed="false">
      <c r="B16" s="12" t="s">
        <v>15</v>
      </c>
      <c r="C16" s="13" t="n">
        <f aca="false">前提条件!C76</f>
        <v>163928.333333333</v>
      </c>
      <c r="D16" s="14" t="s">
        <v>16</v>
      </c>
    </row>
    <row r="17" customFormat="false" ht="17.15" hidden="false" customHeight="false" outlineLevel="0" collapsed="false">
      <c r="B17" s="12" t="s">
        <v>17</v>
      </c>
      <c r="C17" s="13" t="n">
        <f aca="false">前提条件!C10+前提条件!C90</f>
        <v>41666.6666666667</v>
      </c>
      <c r="D17" s="14" t="s">
        <v>18</v>
      </c>
    </row>
    <row r="18" customFormat="false" ht="17.15" hidden="false" customHeight="false" outlineLevel="0" collapsed="false">
      <c r="B18" s="12" t="s">
        <v>19</v>
      </c>
      <c r="C18" s="13" t="n">
        <f aca="false">前提条件!C79</f>
        <v>122261.666666667</v>
      </c>
      <c r="D18" s="14" t="s">
        <v>20</v>
      </c>
    </row>
    <row r="19" customFormat="false" ht="17.15" hidden="false" customHeight="false" outlineLevel="0" collapsed="false">
      <c r="B19" s="12" t="s">
        <v>21</v>
      </c>
      <c r="C19" s="15" t="n">
        <f aca="false">投資回収_月次!D4</f>
        <v>31</v>
      </c>
      <c r="D19" s="14"/>
    </row>
    <row r="20" customFormat="false" ht="17.15" hidden="false" customHeight="false" outlineLevel="0" collapsed="false">
      <c r="B20" s="12" t="s">
        <v>22</v>
      </c>
      <c r="C20" s="16" t="n">
        <f aca="false">投資回収_月次!G4</f>
        <v>47331</v>
      </c>
      <c r="D20" s="14"/>
    </row>
    <row r="21" customFormat="false" ht="17.15" hidden="false" customHeight="false" outlineLevel="0" collapsed="false">
      <c r="B21" s="12" t="s">
        <v>23</v>
      </c>
      <c r="C21" s="17" t="str">
        <f aca="false">投資回収_月次!K4</f>
        <v>◎ 5年以内に回収</v>
      </c>
      <c r="D21" s="14"/>
    </row>
    <row r="22" customFormat="false" ht="17.15" hidden="false" customHeight="false" outlineLevel="0" collapsed="false">
      <c r="B22" s="18" t="s">
        <v>24</v>
      </c>
      <c r="C22" s="19" t="n">
        <f aca="false">白鳥惣菜PL_導入効果!P154*1000</f>
        <v>599566.666666709</v>
      </c>
      <c r="D22" s="14" t="s">
        <v>25</v>
      </c>
    </row>
    <row r="23" customFormat="false" ht="17.15" hidden="false" customHeight="false" outlineLevel="0" collapsed="false">
      <c r="B23" s="18" t="s">
        <v>26</v>
      </c>
      <c r="C23" s="13" t="n">
        <f aca="false">年度別_償却!I16</f>
        <v>14688308</v>
      </c>
      <c r="D23" s="14"/>
    </row>
    <row r="24" customFormat="false" ht="15" hidden="false" customHeight="false" outlineLevel="0" collapsed="false">
      <c r="B24" s="12" t="s">
        <v>27</v>
      </c>
      <c r="C24" s="20" t="n">
        <f aca="false">前提条件!C82</f>
        <v>0.312425308957301</v>
      </c>
      <c r="D24" s="14" t="s">
        <v>28</v>
      </c>
    </row>
    <row r="26" customFormat="false" ht="15" hidden="false" customHeight="false" outlineLevel="0" collapsed="false">
      <c r="B26" s="21" t="s">
        <v>29</v>
      </c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B27" s="5" t="s">
        <v>30</v>
      </c>
      <c r="C27" s="22" t="n">
        <f aca="false">前提条件!C63</f>
        <v>3.83333333333333</v>
      </c>
      <c r="D27" s="14" t="str">
        <f aca="false">"現行 "&amp;TEXT(前提条件!G46/60,"0.0")&amp;"h → 導入後 "&amp;TEXT(前提条件!G59/60,"0.0")&amp;"h（壁崩し工程が不要に）"</f>
        <v>現行 9.6h → 導入後 5.8h（壁崩し工程が不要に）</v>
      </c>
    </row>
    <row r="28" customFormat="false" ht="15" hidden="false" customHeight="false" outlineLevel="0" collapsed="false">
      <c r="B28" s="5" t="s">
        <v>31</v>
      </c>
      <c r="C28" s="23" t="n">
        <f aca="false">前提条件!C64</f>
        <v>5750</v>
      </c>
      <c r="D28" s="14" t="s">
        <v>32</v>
      </c>
    </row>
    <row r="29" customFormat="false" ht="15" hidden="false" customHeight="false" outlineLevel="0" collapsed="false">
      <c r="B29" s="5" t="s">
        <v>33</v>
      </c>
      <c r="C29" s="23" t="n">
        <f aca="false">前提条件!C65</f>
        <v>96</v>
      </c>
      <c r="D29" s="24" t="s">
        <v>34</v>
      </c>
    </row>
    <row r="30" customFormat="false" ht="15" hidden="false" customHeight="false" outlineLevel="0" collapsed="false">
      <c r="B30" s="5" t="s">
        <v>35</v>
      </c>
      <c r="C30" s="25" t="n">
        <f aca="false">-(前提条件!C66+前提条件!C67)</f>
        <v>-210</v>
      </c>
      <c r="D30" s="24" t="s">
        <v>36</v>
      </c>
    </row>
    <row r="31" customFormat="false" ht="15" hidden="false" customHeight="false" outlineLevel="0" collapsed="false">
      <c r="B31" s="5" t="s">
        <v>37</v>
      </c>
      <c r="C31" s="23" t="n">
        <f aca="false">前提条件!C68</f>
        <v>5636</v>
      </c>
      <c r="D31" s="14"/>
    </row>
    <row r="33" customFormat="false" ht="15" hidden="false" customHeight="false" outlineLevel="0" collapsed="false">
      <c r="B33" s="21" t="s">
        <v>38</v>
      </c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B34" s="26"/>
      <c r="C34" s="26" t="s">
        <v>39</v>
      </c>
      <c r="D34" s="26" t="s">
        <v>40</v>
      </c>
      <c r="E34" s="26" t="s">
        <v>41</v>
      </c>
      <c r="F34" s="26" t="s">
        <v>42</v>
      </c>
      <c r="G34" s="26" t="s">
        <v>43</v>
      </c>
      <c r="H34" s="26" t="s">
        <v>44</v>
      </c>
      <c r="I34" s="27" t="s">
        <v>45</v>
      </c>
    </row>
    <row r="35" customFormat="false" ht="15" hidden="false" customHeight="false" outlineLevel="0" collapsed="false">
      <c r="B35" s="28" t="s">
        <v>46</v>
      </c>
      <c r="C35" s="29" t="n">
        <f aca="false">白鳥惣菜PL_導入効果!I152</f>
        <v>-2319.89610000001</v>
      </c>
      <c r="D35" s="29" t="n">
        <f aca="false">白鳥惣菜PL_導入効果!J152</f>
        <v>-2565.48170000003</v>
      </c>
      <c r="E35" s="29" t="n">
        <f aca="false">白鳥惣菜PL_導入効果!K152</f>
        <v>3454.53829999999</v>
      </c>
      <c r="F35" s="29" t="n">
        <f aca="false">白鳥惣菜PL_導入効果!L152</f>
        <v>3740.43829999998</v>
      </c>
      <c r="G35" s="29" t="n">
        <f aca="false">白鳥惣菜PL_導入効果!M152</f>
        <v>2410.43829999998</v>
      </c>
      <c r="H35" s="29" t="n">
        <f aca="false">白鳥惣菜PL_導入効果!N152</f>
        <v>-3722.29310000001</v>
      </c>
      <c r="I35" s="29" t="n">
        <f aca="false">白鳥惣菜PL_導入効果!P152</f>
        <v>997.74399999989</v>
      </c>
    </row>
    <row r="36" customFormat="false" ht="15" hidden="false" customHeight="false" outlineLevel="0" collapsed="false">
      <c r="B36" s="28" t="s">
        <v>47</v>
      </c>
      <c r="C36" s="30" t="n">
        <f aca="false">白鳥惣菜PL_導入効果!I153</f>
        <v>-2319.89610000001</v>
      </c>
      <c r="D36" s="30" t="n">
        <f aca="false">白鳥惣菜PL_導入効果!J153</f>
        <v>-2456.84036666667</v>
      </c>
      <c r="E36" s="30" t="n">
        <f aca="false">白鳥惣菜PL_導入効果!K153</f>
        <v>3580.08763333334</v>
      </c>
      <c r="F36" s="30" t="n">
        <f aca="false">白鳥惣菜PL_導入効果!L153</f>
        <v>3860.35163333331</v>
      </c>
      <c r="G36" s="30" t="n">
        <f aca="false">白鳥惣菜PL_導入効果!M153</f>
        <v>2535.98763333331</v>
      </c>
      <c r="H36" s="30" t="n">
        <f aca="false">白鳥惣菜PL_導入効果!N153</f>
        <v>-3602.37976666668</v>
      </c>
      <c r="I36" s="30" t="n">
        <f aca="false">白鳥惣菜PL_導入効果!P153</f>
        <v>1597.3106666666</v>
      </c>
    </row>
    <row r="37" customFormat="false" ht="15" hidden="false" customHeight="false" outlineLevel="0" collapsed="false">
      <c r="B37" s="28" t="s">
        <v>48</v>
      </c>
      <c r="C37" s="31" t="n">
        <f aca="false">白鳥惣菜PL_導入効果!I154</f>
        <v>0</v>
      </c>
      <c r="D37" s="31" t="n">
        <f aca="false">白鳥惣菜PL_導入効果!J154</f>
        <v>108.641333333362</v>
      </c>
      <c r="E37" s="31" t="n">
        <f aca="false">白鳥惣菜PL_導入効果!K154</f>
        <v>125.549333333357</v>
      </c>
      <c r="F37" s="31" t="n">
        <f aca="false">白鳥惣菜PL_導入効果!L154</f>
        <v>119.91333333333</v>
      </c>
      <c r="G37" s="31" t="n">
        <f aca="false">白鳥惣菜PL_導入効果!M154</f>
        <v>125.549333333329</v>
      </c>
      <c r="H37" s="31" t="n">
        <f aca="false">白鳥惣菜PL_導入効果!N154</f>
        <v>119.91333333333</v>
      </c>
      <c r="I37" s="31" t="n">
        <f aca="false">白鳥惣菜PL_導入効果!P154</f>
        <v>599.566666666709</v>
      </c>
    </row>
    <row r="38" customFormat="false" ht="15" hidden="false" customHeight="false" outlineLevel="0" collapsed="false">
      <c r="B38" s="28" t="s">
        <v>49</v>
      </c>
      <c r="C38" s="32" t="str">
        <f aca="false">白鳥惣菜PL_導入効果!I155</f>
        <v>予算通り</v>
      </c>
      <c r="D38" s="32" t="str">
        <f aca="false">白鳥惣菜PL_導入効果!J155</f>
        <v>予算超</v>
      </c>
      <c r="E38" s="32" t="str">
        <f aca="false">白鳥惣菜PL_導入効果!K155</f>
        <v>予算超</v>
      </c>
      <c r="F38" s="32" t="str">
        <f aca="false">白鳥惣菜PL_導入効果!L155</f>
        <v>予算超</v>
      </c>
      <c r="G38" s="32" t="str">
        <f aca="false">白鳥惣菜PL_導入効果!M155</f>
        <v>予算超</v>
      </c>
      <c r="H38" s="32" t="str">
        <f aca="false">白鳥惣菜PL_導入効果!N155</f>
        <v>予算超</v>
      </c>
      <c r="I38" s="32" t="str">
        <f aca="false">白鳥惣菜PL_導入効果!P155</f>
        <v>予算超</v>
      </c>
    </row>
    <row r="40" customFormat="false" ht="15" hidden="false" customHeight="false" outlineLevel="0" collapsed="false">
      <c r="B40" s="3" t="s">
        <v>50</v>
      </c>
      <c r="C40" s="4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B41" s="5" t="s">
        <v>51</v>
      </c>
    </row>
    <row r="42" customFormat="false" ht="15" hidden="false" customHeight="false" outlineLevel="0" collapsed="false">
      <c r="B42" s="5" t="s">
        <v>52</v>
      </c>
    </row>
    <row r="43" customFormat="false" ht="15" hidden="false" customHeight="false" outlineLevel="0" collapsed="false">
      <c r="B43" s="5" t="s">
        <v>53</v>
      </c>
    </row>
    <row r="44" customFormat="false" ht="15" hidden="false" customHeight="false" outlineLevel="0" collapsed="false">
      <c r="B44" s="5" t="s">
        <v>54</v>
      </c>
    </row>
    <row r="46" customFormat="false" ht="15" hidden="false" customHeight="false" outlineLevel="0" collapsed="false">
      <c r="B46" s="3" t="s">
        <v>55</v>
      </c>
      <c r="C46" s="4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B47" s="33" t="s">
        <v>56</v>
      </c>
    </row>
    <row r="48" customFormat="false" ht="15" hidden="false" customHeight="false" outlineLevel="0" collapsed="false">
      <c r="B48" s="33" t="s">
        <v>57</v>
      </c>
    </row>
    <row r="49" customFormat="false" ht="15" hidden="false" customHeight="false" outlineLevel="0" collapsed="false">
      <c r="B49" s="33" t="s">
        <v>58</v>
      </c>
    </row>
    <row r="50" customFormat="false" ht="15" hidden="false" customHeight="false" outlineLevel="0" collapsed="false">
      <c r="B50" s="33" t="s">
        <v>59</v>
      </c>
    </row>
    <row r="51" customFormat="false" ht="15" hidden="false" customHeight="false" outlineLevel="0" collapsed="false">
      <c r="B51" s="33" t="s">
        <v>60</v>
      </c>
    </row>
    <row r="52" customFormat="false" ht="15" hidden="false" customHeight="false" outlineLevel="0" collapsed="false">
      <c r="B52" s="33" t="s">
        <v>61</v>
      </c>
    </row>
    <row r="54" customFormat="false" ht="15" hidden="false" customHeight="false" outlineLevel="0" collapsed="false">
      <c r="B54" s="3" t="s">
        <v>62</v>
      </c>
      <c r="C54" s="4"/>
      <c r="D54" s="4"/>
      <c r="E54" s="4"/>
      <c r="F54" s="4"/>
      <c r="G54" s="4"/>
      <c r="H54" s="4"/>
      <c r="I54" s="4"/>
    </row>
    <row r="55" customFormat="false" ht="15" hidden="false" customHeight="false" outlineLevel="0" collapsed="false">
      <c r="B55" s="33" t="s">
        <v>63</v>
      </c>
      <c r="C55" s="34" t="n">
        <f aca="false">投資回収_月次!J8-投資回収_月次!M8</f>
        <v>112808</v>
      </c>
      <c r="D55" s="35" t="s">
        <v>64</v>
      </c>
      <c r="E55" s="34" t="n">
        <f aca="false">SUMIFS(投資回収_月次!$J$8:$J$127,投資回収_月次!$C$8:$C$127,48)-SUMIFS(投資回収_月次!$M$8:$M$127,投資回収_月次!$C$8:$C$127,48)</f>
        <v>620400</v>
      </c>
      <c r="F55" s="36" t="s">
        <v>65</v>
      </c>
      <c r="G55" s="37" t="n">
        <f aca="false">COUNTIF(投資回収_月次!$C$8:$C$127,48)</f>
        <v>5</v>
      </c>
    </row>
    <row r="56" customFormat="false" ht="45" hidden="false" customHeight="true" outlineLevel="0" collapsed="false">
      <c r="B56" s="27" t="s">
        <v>66</v>
      </c>
      <c r="C56" s="27" t="s">
        <v>67</v>
      </c>
      <c r="D56" s="27" t="s">
        <v>68</v>
      </c>
      <c r="E56" s="27" t="s">
        <v>69</v>
      </c>
      <c r="F56" s="27" t="s">
        <v>70</v>
      </c>
      <c r="G56" s="27" t="s">
        <v>71</v>
      </c>
      <c r="H56" s="27" t="s">
        <v>72</v>
      </c>
      <c r="I56" s="27" t="s">
        <v>73</v>
      </c>
      <c r="J56" s="27" t="s">
        <v>74</v>
      </c>
    </row>
    <row r="57" customFormat="false" ht="15" hidden="false" customHeight="false" outlineLevel="0" collapsed="false">
      <c r="B57" s="38" t="n">
        <v>100000</v>
      </c>
      <c r="C57" s="39" t="n">
        <f aca="false">B57/(前提条件!$C$9*12)</f>
        <v>833.333333333333</v>
      </c>
      <c r="D57" s="39" t="n">
        <f aca="false">$C$55-C57</f>
        <v>111974.666666667</v>
      </c>
      <c r="E57" s="39" t="n">
        <f aca="false">$E$55-C57*$G$55</f>
        <v>616233.333333333</v>
      </c>
      <c r="F57" s="39" t="n">
        <f aca="false">B57/(前提条件!$C$88*12)</f>
        <v>555.555555555556</v>
      </c>
      <c r="G57" s="39" t="n">
        <f aca="false">$E$55-F57*$G$55</f>
        <v>617622.222222222</v>
      </c>
      <c r="H57" s="39" t="n">
        <f aca="false">$C$55-B57</f>
        <v>12808</v>
      </c>
      <c r="I57" s="39" t="n">
        <f aca="false">$E$55-B57</f>
        <v>520400</v>
      </c>
      <c r="J57" s="40" t="n">
        <f aca="false">ROUNDUP((前提条件!$C$8+B57)/前提条件!$C$76,0)</f>
        <v>29</v>
      </c>
    </row>
    <row r="58" customFormat="false" ht="15" hidden="false" customHeight="false" outlineLevel="0" collapsed="false">
      <c r="B58" s="38" t="n">
        <v>300000</v>
      </c>
      <c r="C58" s="39" t="n">
        <f aca="false">B58/(前提条件!$C$9*12)</f>
        <v>2500</v>
      </c>
      <c r="D58" s="39" t="n">
        <f aca="false">$C$55-C58</f>
        <v>110308</v>
      </c>
      <c r="E58" s="39" t="n">
        <f aca="false">$E$55-C58*$G$55</f>
        <v>607900</v>
      </c>
      <c r="F58" s="39" t="n">
        <f aca="false">B58/(前提条件!$C$88*12)</f>
        <v>1666.66666666667</v>
      </c>
      <c r="G58" s="39" t="n">
        <f aca="false">$E$55-F58*$G$55</f>
        <v>612066.666666667</v>
      </c>
      <c r="H58" s="39" t="n">
        <f aca="false">$C$55-B58</f>
        <v>-187192</v>
      </c>
      <c r="I58" s="39" t="n">
        <f aca="false">$E$55-B58</f>
        <v>320400</v>
      </c>
      <c r="J58" s="40" t="n">
        <f aca="false">ROUNDUP((前提条件!$C$8+B58)/前提条件!$C$76,0)</f>
        <v>30</v>
      </c>
    </row>
    <row r="59" customFormat="false" ht="15" hidden="false" customHeight="false" outlineLevel="0" collapsed="false">
      <c r="B59" s="38" t="n">
        <v>500000</v>
      </c>
      <c r="C59" s="39" t="n">
        <f aca="false">B59/(前提条件!$C$9*12)</f>
        <v>4166.66666666667</v>
      </c>
      <c r="D59" s="39" t="n">
        <f aca="false">$C$55-C59</f>
        <v>108641.333333333</v>
      </c>
      <c r="E59" s="39" t="n">
        <f aca="false">$E$55-C59*$G$55</f>
        <v>599566.666666667</v>
      </c>
      <c r="F59" s="39" t="n">
        <f aca="false">B59/(前提条件!$C$88*12)</f>
        <v>2777.77777777778</v>
      </c>
      <c r="G59" s="39" t="n">
        <f aca="false">$E$55-F59*$G$55</f>
        <v>606511.111111111</v>
      </c>
      <c r="H59" s="39" t="n">
        <f aca="false">$C$55-B59</f>
        <v>-387192</v>
      </c>
      <c r="I59" s="39" t="n">
        <f aca="false">$E$55-B59</f>
        <v>120400</v>
      </c>
      <c r="J59" s="40" t="n">
        <f aca="false">ROUNDUP((前提条件!$C$8+B59)/前提条件!$C$76,0)</f>
        <v>31</v>
      </c>
    </row>
    <row r="60" customFormat="false" ht="15" hidden="false" customHeight="false" outlineLevel="0" collapsed="false">
      <c r="B60" s="38" t="n">
        <v>1000000</v>
      </c>
      <c r="C60" s="39" t="n">
        <f aca="false">B60/(前提条件!$C$9*12)</f>
        <v>8333.33333333333</v>
      </c>
      <c r="D60" s="39" t="n">
        <f aca="false">$C$55-C60</f>
        <v>104474.666666667</v>
      </c>
      <c r="E60" s="39" t="n">
        <f aca="false">$E$55-C60*$G$55</f>
        <v>578733.333333333</v>
      </c>
      <c r="F60" s="39" t="n">
        <f aca="false">B60/(前提条件!$C$88*12)</f>
        <v>5555.55555555556</v>
      </c>
      <c r="G60" s="39" t="n">
        <f aca="false">$E$55-F60*$G$55</f>
        <v>592622.222222222</v>
      </c>
      <c r="H60" s="39" t="n">
        <f aca="false">$C$55-B60</f>
        <v>-887192</v>
      </c>
      <c r="I60" s="39" t="n">
        <f aca="false">$E$55-B60</f>
        <v>-379600</v>
      </c>
      <c r="J60" s="40" t="n">
        <f aca="false">ROUNDUP((前提条件!$C$8+B60)/前提条件!$C$76,0)</f>
        <v>34</v>
      </c>
    </row>
    <row r="61" customFormat="false" ht="15" hidden="false" customHeight="false" outlineLevel="0" collapsed="false">
      <c r="B61" s="33" t="s">
        <v>75</v>
      </c>
    </row>
    <row r="62" customFormat="false" ht="15" hidden="false" customHeight="false" outlineLevel="0" collapsed="false">
      <c r="B62" s="33" t="s">
        <v>76</v>
      </c>
    </row>
    <row r="63" customFormat="false" ht="15" hidden="false" customHeight="false" outlineLevel="0" collapsed="false">
      <c r="B63" s="33" t="s">
        <v>77</v>
      </c>
    </row>
  </sheetData>
  <conditionalFormatting sqref="D57:E60">
    <cfRule type="expression" priority="2" aboveAverage="0" equalAverage="0" bottom="0" percent="0" rank="0" text="" dxfId="0">
      <formula>D57&lt;0</formula>
    </cfRule>
  </conditionalFormatting>
  <conditionalFormatting sqref="G57:I60">
    <cfRule type="expression" priority="3" aboveAverage="0" equalAverage="0" bottom="0" percent="0" rank="0" text="" dxfId="0">
      <formula>G57&lt;0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78</v>
      </c>
    </row>
    <row r="2" customFormat="false" ht="15" hidden="false" customHeight="false" outlineLevel="0" collapsed="false">
      <c r="B2" s="14" t="s">
        <v>79</v>
      </c>
    </row>
    <row r="4" customFormat="false" ht="16.4" hidden="false" customHeight="false" outlineLevel="0" collapsed="false">
      <c r="B4" s="41" t="s">
        <v>80</v>
      </c>
    </row>
    <row r="5" customFormat="false" ht="21.75" hidden="false" customHeight="true" outlineLevel="0" collapsed="false">
      <c r="B5" s="42" t="str">
        <f aca="false">"【一言で】下期予算の修正は不要です。2月に導入しても、2〜6月の全月で白鳥惣菜の経常利益は予算を上回ります（下期計 +"&amp;TEXT(白鳥惣菜PL_導入効果!$P$154*1000/10000,"0")&amp;"万円）。"</f>
        <v>【一言で】下期予算の修正は不要です。2月に導入しても、2〜6月の全月で白鳥惣菜の経常利益は予算を上回ります（下期計 +60万円）。</v>
      </c>
    </row>
    <row r="6" customFormat="false" ht="21.75" hidden="false" customHeight="true" outlineLevel="0" collapsed="false">
      <c r="B6" s="43" t="str">
        <f aca="false">"・お願い：充填機2台（総投資"&amp;TEXT(前提条件!$C$94/10000,"#,##0")&amp;"万円）を2027年2月1日に導入したい。予算額はそのままで構いません。"</f>
        <v>・お願い：充填機2台（総投資500万円）を2027年2月1日に導入したい。予算額はそのままで構いません。</v>
      </c>
    </row>
    <row r="7" customFormat="false" ht="21.75" hidden="false" customHeight="true" outlineLevel="0" collapsed="false">
      <c r="B7" s="43" t="str">
        <f aca="false">"・増える費用：減価償却費 月"&amp;TEXT((前提条件!$C$10+前提条件!$C$90)/10000,"0.0")&amp;"万円／電気・洗浄・保守 月"&amp;TEXT(((前提条件!$C$73+前提条件!$C$74)/12)/10000,"0.0")&amp;"万円"</f>
        <v>・増える費用：減価償却費 月4.2万円／電気・洗浄・保守 月1.4万円</v>
      </c>
    </row>
    <row r="8" customFormat="false" ht="21.75" hidden="false" customHeight="true" outlineLevel="0" collapsed="false">
      <c r="B8" s="43" t="str">
        <f aca="false">"・減る費用：雑給 月"&amp;TEXT((前提条件!$C$71/12)/10000,"0.0")&amp;"万円（1日"&amp;TEXT(前提条件!$C$63,"0.0")&amp;"時間分の作業減）／絞り袋 月"&amp;TEXT((前提条件!$C$72/12)/10000,"0.0")&amp;"万円"</f>
        <v>・減る費用：雑給 月17.5万円（1日3.8時間分の作業減）／絞り袋 月0.3万円</v>
      </c>
    </row>
    <row r="9" customFormat="false" ht="21.75" hidden="false" customHeight="true" outlineLevel="0" collapsed="false">
      <c r="B9" s="42" t="str">
        <f aca="false">"・差し引き：毎月 約"&amp;TEXT(前提条件!$C$79/10000,"0.0")&amp;"万円、予算より利益が増える"</f>
        <v>・差し引き：毎月 約12.2万円、予算より利益が増える</v>
      </c>
    </row>
    <row r="10" customFormat="false" ht="21.75" hidden="false" customHeight="true" outlineLevel="0" collapsed="false">
      <c r="B10" s="43" t="str">
        <f aca="false">"・現場：作業人時 "&amp;TEXT((前提条件!$G$46/60),"0.0")&amp;"h → "&amp;TEXT((前提条件!$G$59/60),"0.0")&amp;"h。手詰め・壁崩しがなくなり、組立（2名×20分）・洗浄（2名×20分）が加わる"</f>
        <v>・現場：作業人時 9.6h → 5.8h。手詰め・壁崩しがなくなり、組立（2名×20分）・洗浄（2名×20分）が加わる</v>
      </c>
    </row>
    <row r="11" customFormat="false" ht="21.75" hidden="false" customHeight="true" outlineLevel="0" collapsed="false">
      <c r="B11" s="43" t="str">
        <f aca="false">"・条件：減った"&amp;TEXT(前提条件!$C$63,"0.0")&amp;"時間分のパートシフトを実際に調整すること"</f>
        <v>・条件：減った3.8時間分のパートシフトを実際に調整すること</v>
      </c>
    </row>
    <row r="12" customFormat="false" ht="21.75" hidden="false" customHeight="true" outlineLevel="0" collapsed="false"/>
    <row r="13" customFormat="false" ht="21.75" hidden="false" customHeight="true" outlineLevel="0" collapsed="false">
      <c r="B13" s="41" t="s">
        <v>81</v>
      </c>
    </row>
    <row r="14" customFormat="false" ht="21.75" hidden="false" customHeight="true" outlineLevel="0" collapsed="false">
      <c r="B14" s="42" t="str">
        <f aca="false">"【結論】充填機2台に"&amp;TEXT(前提条件!$C$94/10000,"#,##0")&amp;"万円を投資。月"&amp;TEXT(前提条件!$C$79/10000,"0.0")&amp;"万円の利益改善で"&amp;投資回収_月次!$D$4&amp;"か月（"&amp;YEAR(投資回収_月次!$G$4)&amp;"年"&amp;MONTH(投資回収_月次!$G$4)&amp;"月"&amp;"）で回収し、5年以内の基準を満たす。期中導入でも48期の経常利益予算は下回らない。"</f>
        <v>【結論】充填機2台に500万円を投資。月12.2万円の利益改善で31か月（2029年8月）で回収し、5年以内の基準を満たす。期中導入でも48期の経常利益予算は下回らない。</v>
      </c>
    </row>
    <row r="15" customFormat="false" ht="21.75" hidden="false" customHeight="true" outlineLevel="0" collapsed="false">
      <c r="B15" s="43" t="str">
        <f aca="false">"・投資内容：本体"&amp;TEXT(前提条件!$C$5/10000,"#,##0")&amp;"万円（暫定）＋電気・付帯工事"&amp;TEXT(前提条件!$C$85/10000,"#,##0")&amp;"万円。2027年2月1日導入、"&amp;前提条件!$C$9&amp;"年償却"</f>
        <v>・投資内容：本体450万円（暫定）＋電気・付帯工事50万円。2027年2月1日導入、10年償却</v>
      </c>
    </row>
    <row r="16" customFormat="false" ht="21.75" hidden="false" customHeight="true" outlineLevel="0" collapsed="false">
      <c r="B16" s="43" t="str">
        <f aca="false">"・効果（月平均）：投資効果 償却前 約"&amp;TEXT(前提条件!$C$76/10000,"0.0")&amp;"万円 − 減価償却 "&amp;TEXT((前提条件!$C$10+前提条件!$C$90)/10000,"0.0")&amp;"万円 ＝ 利益改善 約"&amp;TEXT(前提条件!$C$79/10000,"0.0")&amp;"万円"</f>
        <v>・効果（月平均）：投資効果 償却前 約16.4万円 − 減価償却 4.2万円 ＝ 利益改善 約12.2万円</v>
      </c>
    </row>
    <row r="17" customFormat="false" ht="21.75" hidden="false" customHeight="true" outlineLevel="0" collapsed="false">
      <c r="B17" s="43" t="str">
        <f aca="false">"・48期（2〜6月）の経常利益：予算比 +"&amp;TEXT(白鳥惣菜PL_導入効果!$P$154*1000/10000,"0")&amp;"万円、全月で予算超"</f>
        <v>・48期（2〜6月）の経常利益：予算比 +60万円、全月で予算超</v>
      </c>
    </row>
    <row r="18" customFormat="false" ht="21.75" hidden="false" customHeight="true" outlineLevel="0" collapsed="false">
      <c r="B18" s="43" t="str">
        <f aca="false">"・10年累計の利益改善（償却後）：約"&amp;TEXT(年度別_償却!$I$16/10000,"#,##0")&amp;"万円"</f>
        <v>・10年累計の利益改善（償却後）：約1,469万円</v>
      </c>
    </row>
    <row r="19" customFormat="false" ht="21.75" hidden="false" customHeight="true" outlineLevel="0" collapsed="false">
      <c r="B19" s="43" t="str">
        <f aca="false">"・損益分岐：効果が見込みの"&amp;TEXT(前提条件!$C$82,"0%")&amp;"程度まで下がっても赤字にならない"</f>
        <v>・損益分岐：効果が見込みの31%程度まで下がっても赤字にならない</v>
      </c>
    </row>
    <row r="20" customFormat="false" ht="21.75" hidden="false" customHeight="true" outlineLevel="0" collapsed="false">
      <c r="B20" s="43" t="s">
        <v>82</v>
      </c>
    </row>
    <row r="21" customFormat="false" ht="21.75" hidden="false" customHeight="true" outlineLevel="0" collapsed="false">
      <c r="B21" s="4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8" min="3" style="0" width="10.51"/>
    <col collapsed="false" customWidth="true" hidden="false" outlineLevel="0" max="9" min="9" style="0" width="11"/>
    <col collapsed="false" customWidth="true" hidden="false" outlineLevel="0" max="10" min="10" style="0" width="1.51"/>
  </cols>
  <sheetData>
    <row r="1" customFormat="false" ht="19.7" hidden="false" customHeight="false" outlineLevel="0" collapsed="false">
      <c r="B1" s="1" t="s">
        <v>84</v>
      </c>
    </row>
    <row r="2" customFormat="false" ht="15" hidden="false" customHeight="false" outlineLevel="0" collapsed="false">
      <c r="B2" s="2" t="s">
        <v>85</v>
      </c>
    </row>
    <row r="4" customFormat="false" ht="15" hidden="false" customHeight="false" outlineLevel="0" collapsed="false">
      <c r="B4" s="44" t="str">
        <f aca="false">"充填機2台に"&amp;TEXT(前提条件!$C$94/10000,"#,##0")&amp;"万円を投資。月"&amp;TEXT(前提条件!$C$79/10000,"0.0")&amp;"万円の利益改善で"&amp;投資回収_月次!$D$4&amp;"か月（"&amp;YEAR(投資回収_月次!$G$4)&amp;"年"&amp;MONTH(投資回収_月次!$G$4)&amp;"月"&amp;"）で回収し、5年以内の基準を満たします。期中導入でも48期の経常利益予算は下回りません。"</f>
        <v>充填機2台に500万円を投資。月12.2万円の利益改善で31か月（2029年8月）で回収し、5年以内の基準を満たします。期中導入でも48期の経常利益予算は下回りません。</v>
      </c>
      <c r="C4" s="44"/>
      <c r="D4" s="44"/>
      <c r="E4" s="44"/>
      <c r="F4" s="44"/>
      <c r="G4" s="44"/>
      <c r="H4" s="44"/>
      <c r="I4" s="44"/>
    </row>
    <row r="5" customFormat="false" ht="15" hidden="false" customHeight="false" outlineLevel="0" collapsed="false">
      <c r="B5" s="44"/>
      <c r="C5" s="44"/>
      <c r="D5" s="44"/>
      <c r="E5" s="44"/>
      <c r="F5" s="44"/>
      <c r="G5" s="44"/>
      <c r="H5" s="44"/>
      <c r="I5" s="44"/>
    </row>
    <row r="7" customFormat="false" ht="25.5" hidden="false" customHeight="true" outlineLevel="0" collapsed="false">
      <c r="B7" s="45" t="s">
        <v>86</v>
      </c>
      <c r="C7" s="45"/>
      <c r="D7" s="45" t="s">
        <v>87</v>
      </c>
      <c r="E7" s="45"/>
      <c r="F7" s="45" t="s">
        <v>88</v>
      </c>
      <c r="G7" s="45"/>
      <c r="H7" s="46" t="s">
        <v>89</v>
      </c>
      <c r="I7" s="46"/>
    </row>
    <row r="8" customFormat="false" ht="33.75" hidden="false" customHeight="true" outlineLevel="0" collapsed="false">
      <c r="B8" s="47" t="n">
        <f aca="false">前提条件!$C$94</f>
        <v>5000000</v>
      </c>
      <c r="C8" s="47"/>
      <c r="D8" s="48" t="n">
        <f aca="false">投資回収_月次!$D$4</f>
        <v>31</v>
      </c>
      <c r="E8" s="48"/>
      <c r="F8" s="47" t="n">
        <f aca="false">前提条件!$C$79</f>
        <v>122261.666666667</v>
      </c>
      <c r="G8" s="47"/>
      <c r="H8" s="49" t="n">
        <f aca="false">白鳥惣菜PL_導入効果!$P$154*1000</f>
        <v>599566.666666709</v>
      </c>
      <c r="I8" s="49"/>
    </row>
    <row r="10" customFormat="false" ht="15" hidden="false" customHeight="false" outlineLevel="0" collapsed="false">
      <c r="B10" s="3" t="s">
        <v>90</v>
      </c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B11" s="50" t="str">
        <f aca="false">"・充填機2台：本体"&amp;TEXT(前提条件!$C$5/10000,"#,##0")&amp;"万円（暫定）＋電気・付帯工事"&amp;TEXT(前提条件!$C$85/10000,"#,##0")&amp;"万円＝"&amp;TEXT(前提条件!$C$94/10000,"#,##0")&amp;"万円"</f>
        <v>・充填機2台：本体450万円（暫定）＋電気・付帯工事50万円＝500万円</v>
      </c>
      <c r="C11" s="50"/>
      <c r="D11" s="50"/>
      <c r="E11" s="50"/>
      <c r="F11" s="50"/>
      <c r="G11" s="50"/>
      <c r="H11" s="50"/>
      <c r="I11" s="50"/>
    </row>
    <row r="12" customFormat="false" ht="15" hidden="false" customHeight="false" outlineLevel="0" collapsed="false">
      <c r="B12" s="50" t="str">
        <f aca="false">"・2027年2月1日導入。電気・付帯工事は"&amp;前提条件!$C$87</f>
        <v>・2027年2月1日導入。電気・付帯工事は機械の付随費用として資産計上（機械と同じ10年償却）</v>
      </c>
      <c r="C12" s="50"/>
      <c r="D12" s="50"/>
      <c r="E12" s="50"/>
      <c r="F12" s="50"/>
      <c r="G12" s="50"/>
      <c r="H12" s="50"/>
      <c r="I12" s="50"/>
    </row>
    <row r="13" customFormat="false" ht="15" hidden="false" customHeight="true" outlineLevel="0" collapsed="false">
      <c r="B13" s="50" t="s">
        <v>91</v>
      </c>
      <c r="C13" s="50"/>
      <c r="D13" s="50"/>
      <c r="E13" s="50"/>
      <c r="F13" s="50"/>
      <c r="G13" s="50"/>
      <c r="H13" s="50"/>
      <c r="I13" s="50"/>
    </row>
    <row r="15" customFormat="false" ht="15" hidden="false" customHeight="false" outlineLevel="0" collapsed="false">
      <c r="B15" s="3" t="s">
        <v>92</v>
      </c>
      <c r="C15" s="4"/>
      <c r="D15" s="4"/>
      <c r="E15" s="4"/>
      <c r="F15" s="4"/>
      <c r="G15" s="4"/>
      <c r="H15" s="4"/>
      <c r="I15" s="4"/>
    </row>
    <row r="16" customFormat="false" ht="15" hidden="false" customHeight="true" outlineLevel="0" collapsed="false">
      <c r="B16" s="27" t="s">
        <v>93</v>
      </c>
      <c r="C16" s="27"/>
      <c r="D16" s="27" t="s">
        <v>94</v>
      </c>
      <c r="E16" s="27"/>
      <c r="F16" s="27" t="s">
        <v>95</v>
      </c>
      <c r="G16" s="27"/>
      <c r="H16" s="27"/>
      <c r="I16" s="27"/>
    </row>
    <row r="17" customFormat="false" ht="15" hidden="false" customHeight="false" outlineLevel="0" collapsed="false">
      <c r="B17" s="51" t="s">
        <v>96</v>
      </c>
      <c r="C17" s="51"/>
      <c r="D17" s="52" t="n">
        <f aca="false">(前提条件!$C$71/12)</f>
        <v>174895.833333333</v>
      </c>
      <c r="E17" s="52"/>
      <c r="F17" s="53" t="str">
        <f aca="false">"1日 "&amp;TEXT(前提条件!$C$63,"0.0")&amp;"時間（"&amp;TEXT((前提条件!$G$46/60),"0.0")&amp;"h→"&amp;TEXT((前提条件!$G$59/60),"0.0")&amp;"h）"</f>
        <v>1日 3.8時間（9.6h→5.8h）</v>
      </c>
      <c r="G17" s="53"/>
      <c r="H17" s="53"/>
      <c r="I17" s="53"/>
    </row>
    <row r="18" customFormat="false" ht="15" hidden="false" customHeight="false" outlineLevel="0" collapsed="false">
      <c r="B18" s="51" t="s">
        <v>97</v>
      </c>
      <c r="C18" s="51"/>
      <c r="D18" s="52" t="n">
        <f aca="false">(前提条件!$C$72/12)</f>
        <v>2920</v>
      </c>
      <c r="E18" s="52"/>
      <c r="F18" s="54" t="s">
        <v>98</v>
      </c>
      <c r="G18" s="54"/>
      <c r="H18" s="54"/>
      <c r="I18" s="54"/>
    </row>
    <row r="19" customFormat="false" ht="15" hidden="false" customHeight="false" outlineLevel="0" collapsed="false">
      <c r="B19" s="51" t="s">
        <v>99</v>
      </c>
      <c r="C19" s="51"/>
      <c r="D19" s="52" t="n">
        <f aca="false">-((前提条件!$C$73+前提条件!$C$74)/12)</f>
        <v>-13887.5</v>
      </c>
      <c r="E19" s="52"/>
      <c r="F19" s="54" t="s">
        <v>100</v>
      </c>
      <c r="G19" s="54"/>
      <c r="H19" s="54"/>
      <c r="I19" s="54"/>
    </row>
    <row r="20" customFormat="false" ht="15" hidden="false" customHeight="false" outlineLevel="0" collapsed="false">
      <c r="B20" s="55" t="s">
        <v>101</v>
      </c>
      <c r="C20" s="55"/>
      <c r="D20" s="56" t="n">
        <f aca="false">前提条件!$C$76</f>
        <v>163928.333333333</v>
      </c>
      <c r="E20" s="56"/>
      <c r="F20" s="57" t="s">
        <v>102</v>
      </c>
      <c r="G20" s="57"/>
      <c r="H20" s="57"/>
      <c r="I20" s="57"/>
    </row>
    <row r="21" customFormat="false" ht="15" hidden="false" customHeight="false" outlineLevel="0" collapsed="false">
      <c r="B21" s="51" t="s">
        <v>103</v>
      </c>
      <c r="C21" s="51"/>
      <c r="D21" s="52" t="n">
        <f aca="false">-(前提条件!$C$10+前提条件!$C$90)</f>
        <v>-41666.6666666667</v>
      </c>
      <c r="E21" s="52"/>
      <c r="F21" s="54" t="str">
        <f aca="false">"総投資を"&amp;前提条件!$C$9&amp;"年で償却"</f>
        <v>総投資を10年で償却</v>
      </c>
      <c r="G21" s="54"/>
      <c r="H21" s="54"/>
      <c r="I21" s="54"/>
    </row>
    <row r="22" customFormat="false" ht="15" hidden="false" customHeight="false" outlineLevel="0" collapsed="false">
      <c r="B22" s="55" t="s">
        <v>104</v>
      </c>
      <c r="C22" s="55"/>
      <c r="D22" s="56" t="n">
        <f aca="false">前提条件!$C$79</f>
        <v>122261.666666667</v>
      </c>
      <c r="E22" s="56"/>
      <c r="F22" s="57" t="s">
        <v>105</v>
      </c>
      <c r="G22" s="57"/>
      <c r="H22" s="57"/>
      <c r="I22" s="57"/>
    </row>
    <row r="24" customFormat="false" ht="15" hidden="false" customHeight="false" outlineLevel="0" collapsed="false">
      <c r="B24" s="21" t="s">
        <v>106</v>
      </c>
      <c r="C24" s="4"/>
      <c r="D24" s="4"/>
      <c r="E24" s="4"/>
      <c r="F24" s="4"/>
      <c r="G24" s="4"/>
      <c r="H24" s="4"/>
      <c r="I24" s="4"/>
    </row>
    <row r="25" customFormat="false" ht="27.75" hidden="false" customHeight="true" outlineLevel="0" collapsed="false">
      <c r="B25" s="27" t="s">
        <v>107</v>
      </c>
      <c r="C25" s="26" t="s">
        <v>40</v>
      </c>
      <c r="D25" s="26" t="s">
        <v>41</v>
      </c>
      <c r="E25" s="26" t="s">
        <v>42</v>
      </c>
      <c r="F25" s="26" t="s">
        <v>43</v>
      </c>
      <c r="G25" s="26" t="s">
        <v>44</v>
      </c>
      <c r="H25" s="27" t="s">
        <v>108</v>
      </c>
      <c r="I25" s="27" t="s">
        <v>49</v>
      </c>
    </row>
    <row r="26" customFormat="false" ht="15" hidden="false" customHeight="false" outlineLevel="0" collapsed="false">
      <c r="B26" s="28" t="s">
        <v>46</v>
      </c>
      <c r="C26" s="58" t="n">
        <f aca="false">白鳥惣菜PL_導入効果!J152</f>
        <v>-2565.48170000003</v>
      </c>
      <c r="D26" s="58" t="n">
        <f aca="false">白鳥惣菜PL_導入効果!K152</f>
        <v>3454.53829999999</v>
      </c>
      <c r="E26" s="58" t="n">
        <f aca="false">白鳥惣菜PL_導入効果!L152</f>
        <v>3740.43829999998</v>
      </c>
      <c r="F26" s="58" t="n">
        <f aca="false">白鳥惣菜PL_導入効果!M152</f>
        <v>2410.43829999998</v>
      </c>
      <c r="G26" s="58" t="n">
        <f aca="false">白鳥惣菜PL_導入効果!N152</f>
        <v>-3722.29310000001</v>
      </c>
      <c r="H26" s="58" t="n">
        <f aca="false">白鳥惣菜PL_導入効果!P152</f>
        <v>997.74399999989</v>
      </c>
      <c r="I26" s="32"/>
    </row>
    <row r="27" customFormat="false" ht="15" hidden="false" customHeight="false" outlineLevel="0" collapsed="false">
      <c r="B27" s="28" t="s">
        <v>47</v>
      </c>
      <c r="C27" s="58" t="n">
        <f aca="false">白鳥惣菜PL_導入効果!J153</f>
        <v>-2456.84036666667</v>
      </c>
      <c r="D27" s="58" t="n">
        <f aca="false">白鳥惣菜PL_導入効果!K153</f>
        <v>3580.08763333334</v>
      </c>
      <c r="E27" s="58" t="n">
        <f aca="false">白鳥惣菜PL_導入効果!L153</f>
        <v>3860.35163333331</v>
      </c>
      <c r="F27" s="58" t="n">
        <f aca="false">白鳥惣菜PL_導入効果!M153</f>
        <v>2535.98763333331</v>
      </c>
      <c r="G27" s="58" t="n">
        <f aca="false">白鳥惣菜PL_導入効果!N153</f>
        <v>-3602.37976666668</v>
      </c>
      <c r="H27" s="58" t="n">
        <f aca="false">白鳥惣菜PL_導入効果!P153</f>
        <v>1597.3106666666</v>
      </c>
      <c r="I27" s="32"/>
    </row>
    <row r="28" customFormat="false" ht="15" hidden="false" customHeight="false" outlineLevel="0" collapsed="false">
      <c r="B28" s="55" t="s">
        <v>109</v>
      </c>
      <c r="C28" s="59" t="n">
        <f aca="false">白鳥惣菜PL_導入効果!J154</f>
        <v>108.641333333362</v>
      </c>
      <c r="D28" s="59" t="n">
        <f aca="false">白鳥惣菜PL_導入効果!K154</f>
        <v>125.549333333357</v>
      </c>
      <c r="E28" s="59" t="n">
        <f aca="false">白鳥惣菜PL_導入効果!L154</f>
        <v>119.91333333333</v>
      </c>
      <c r="F28" s="59" t="n">
        <f aca="false">白鳥惣菜PL_導入効果!M154</f>
        <v>125.549333333329</v>
      </c>
      <c r="G28" s="59" t="n">
        <f aca="false">白鳥惣菜PL_導入効果!N154</f>
        <v>119.91333333333</v>
      </c>
      <c r="H28" s="59" t="n">
        <f aca="false">白鳥惣菜PL_導入効果!P154</f>
        <v>599.566666666709</v>
      </c>
      <c r="I28" s="60" t="str">
        <f aca="false">白鳥惣菜PL_導入効果!P155</f>
        <v>予算超</v>
      </c>
    </row>
    <row r="30" customFormat="false" ht="15" hidden="false" customHeight="false" outlineLevel="0" collapsed="false">
      <c r="B30" s="3" t="s">
        <v>110</v>
      </c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B31" s="50" t="str">
        <f aca="false">"・10年間の累計利益改善（償却後）：約"&amp;TEXT(年度別_償却!$I$16/10000,"#,##0")&amp;"万円"</f>
        <v>・10年間の累計利益改善（償却後）：約1,469万円</v>
      </c>
      <c r="C31" s="50"/>
      <c r="D31" s="50"/>
      <c r="E31" s="50"/>
      <c r="F31" s="50"/>
      <c r="G31" s="50"/>
      <c r="H31" s="50"/>
      <c r="I31" s="50"/>
    </row>
    <row r="32" customFormat="false" ht="15" hidden="false" customHeight="false" outlineLevel="0" collapsed="false">
      <c r="B32" s="50" t="str">
        <f aca="false">"・効果が見込みの"&amp;TEXT(前提条件!$C$82,"0%")&amp;"程度まで下がっても赤字にならない（損益分岐）"</f>
        <v>・効果が見込みの31%程度まで下がっても赤字にならない（損益分岐）</v>
      </c>
      <c r="C32" s="50"/>
      <c r="D32" s="50"/>
      <c r="E32" s="50"/>
      <c r="F32" s="50"/>
      <c r="G32" s="50"/>
      <c r="H32" s="50"/>
      <c r="I32" s="50"/>
    </row>
    <row r="33" customFormat="false" ht="30" hidden="false" customHeight="true" outlineLevel="0" collapsed="false">
      <c r="B33" s="50" t="s">
        <v>111</v>
      </c>
      <c r="C33" s="50"/>
      <c r="D33" s="50"/>
      <c r="E33" s="50"/>
      <c r="F33" s="50"/>
      <c r="G33" s="50"/>
      <c r="H33" s="50"/>
      <c r="I33" s="50"/>
    </row>
    <row r="35" customFormat="false" ht="15" hidden="false" customHeight="false" outlineLevel="0" collapsed="false">
      <c r="B35" s="3" t="s">
        <v>112</v>
      </c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B36" s="61" t="s">
        <v>113</v>
      </c>
      <c r="C36" s="61"/>
      <c r="D36" s="61"/>
      <c r="E36" s="61"/>
      <c r="F36" s="61"/>
      <c r="G36" s="61"/>
      <c r="H36" s="61"/>
      <c r="I36" s="61"/>
    </row>
    <row r="37" customFormat="false" ht="15" hidden="false" customHeight="true" outlineLevel="0" collapsed="false">
      <c r="B37" s="61" t="s">
        <v>114</v>
      </c>
      <c r="C37" s="61"/>
      <c r="D37" s="61"/>
      <c r="E37" s="61"/>
      <c r="F37" s="61"/>
      <c r="G37" s="61"/>
      <c r="H37" s="61"/>
      <c r="I37" s="61"/>
    </row>
    <row r="38" customFormat="false" ht="15" hidden="false" customHeight="false" outlineLevel="0" collapsed="false">
      <c r="B38" s="61" t="str">
        <f aca="false">"・年"&amp;前提条件!$C$26&amp;"日稼働・時給"&amp;TEXT(前提条件!$C$25,"#,##0")&amp;"円で試算。法定福利費の削減は含めず、控えめに見積もっています。"</f>
        <v>・年365日稼働・時給1,500円で試算。法定福利費の削減は含めず、控えめに見積もっています。</v>
      </c>
      <c r="C38" s="61"/>
      <c r="D38" s="61"/>
      <c r="E38" s="61"/>
      <c r="F38" s="61"/>
      <c r="G38" s="61"/>
      <c r="H38" s="61"/>
      <c r="I38" s="61"/>
    </row>
  </sheetData>
  <mergeCells count="39">
    <mergeCell ref="B4:I5"/>
    <mergeCell ref="B7:C7"/>
    <mergeCell ref="D7:E7"/>
    <mergeCell ref="F7:G7"/>
    <mergeCell ref="H7:I7"/>
    <mergeCell ref="B8:C8"/>
    <mergeCell ref="D8:E8"/>
    <mergeCell ref="F8:G8"/>
    <mergeCell ref="H8:I8"/>
    <mergeCell ref="B11:I11"/>
    <mergeCell ref="B12:I12"/>
    <mergeCell ref="B13:I13"/>
    <mergeCell ref="B16:C16"/>
    <mergeCell ref="D16:E16"/>
    <mergeCell ref="F16:I16"/>
    <mergeCell ref="B17:C17"/>
    <mergeCell ref="D17:E17"/>
    <mergeCell ref="F17:I17"/>
    <mergeCell ref="B18:C18"/>
    <mergeCell ref="D18:E18"/>
    <mergeCell ref="F18:I18"/>
    <mergeCell ref="B19:C19"/>
    <mergeCell ref="D19:E19"/>
    <mergeCell ref="F19:I19"/>
    <mergeCell ref="B20:C20"/>
    <mergeCell ref="D20:E20"/>
    <mergeCell ref="F20:I20"/>
    <mergeCell ref="B21:C21"/>
    <mergeCell ref="D21:E21"/>
    <mergeCell ref="F21:I21"/>
    <mergeCell ref="B22:C22"/>
    <mergeCell ref="D22:E22"/>
    <mergeCell ref="F22:I22"/>
    <mergeCell ref="B31:I31"/>
    <mergeCell ref="B32:I32"/>
    <mergeCell ref="B33:I33"/>
    <mergeCell ref="B36:I36"/>
    <mergeCell ref="B37:I37"/>
    <mergeCell ref="B38:I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8" min="3" style="0" width="10.51"/>
    <col collapsed="false" customWidth="true" hidden="false" outlineLevel="0" max="9" min="9" style="0" width="11"/>
    <col collapsed="false" customWidth="true" hidden="false" outlineLevel="0" max="10" min="10" style="0" width="1.51"/>
  </cols>
  <sheetData>
    <row r="1" customFormat="false" ht="19.7" hidden="false" customHeight="false" outlineLevel="0" collapsed="false">
      <c r="B1" s="1" t="s">
        <v>115</v>
      </c>
    </row>
    <row r="2" customFormat="false" ht="15" hidden="false" customHeight="false" outlineLevel="0" collapsed="false">
      <c r="B2" s="62" t="s">
        <v>116</v>
      </c>
    </row>
    <row r="4" customFormat="false" ht="15" hidden="false" customHeight="false" outlineLevel="0" collapsed="false">
      <c r="B4" s="44" t="str">
        <f aca="false">"下期予算の修正は不要です。充填機を2月に導入しても、2〜6月の全月で白鳥惣菜の経常利益は予算を上回ります（下期計 +"&amp;TEXT(白鳥惣菜PL_導入効果!$P$154*1000/10000,"0")&amp;"万円）。"</f>
        <v>下期予算の修正は不要です。充填機を2月に導入しても、2〜6月の全月で白鳥惣菜の経常利益は予算を上回ります（下期計 +60万円）。</v>
      </c>
      <c r="C4" s="44"/>
      <c r="D4" s="44"/>
      <c r="E4" s="44"/>
      <c r="F4" s="44"/>
      <c r="G4" s="44"/>
      <c r="H4" s="44"/>
      <c r="I4" s="44"/>
    </row>
    <row r="5" customFormat="false" ht="15" hidden="false" customHeight="false" outlineLevel="0" collapsed="false"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B7" s="3" t="s">
        <v>117</v>
      </c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B8" s="50" t="str">
        <f aca="false">"・充填機2台（本体"&amp;TEXT(前提条件!$C$5/10000,"#,##0")&amp;"万円＋電気・付帯工事"&amp;TEXT(前提条件!$C$85/10000,"#,##0")&amp;"万円＝"&amp;TEXT(前提条件!$C$94/10000,"#,##0")&amp;"万円）を2027年2月1日に導入したい"</f>
        <v>・充填機2台（本体450万円＋電気・付帯工事50万円＝500万円）を2027年2月1日に導入したい</v>
      </c>
      <c r="C8" s="50"/>
      <c r="D8" s="50"/>
      <c r="E8" s="50"/>
      <c r="F8" s="50"/>
      <c r="G8" s="50"/>
      <c r="H8" s="50"/>
      <c r="I8" s="50"/>
    </row>
    <row r="9" customFormat="false" ht="15" hidden="false" customHeight="true" outlineLevel="0" collapsed="false">
      <c r="B9" s="50" t="s">
        <v>118</v>
      </c>
      <c r="C9" s="50"/>
      <c r="D9" s="50"/>
      <c r="E9" s="50"/>
      <c r="F9" s="50"/>
      <c r="G9" s="50"/>
      <c r="H9" s="50"/>
      <c r="I9" s="50"/>
    </row>
    <row r="11" customFormat="false" ht="15" hidden="false" customHeight="false" outlineLevel="0" collapsed="false">
      <c r="B11" s="3" t="s">
        <v>119</v>
      </c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B12" s="27" t="s">
        <v>93</v>
      </c>
      <c r="C12" s="27"/>
      <c r="D12" s="27" t="s">
        <v>94</v>
      </c>
      <c r="E12" s="27"/>
      <c r="F12" s="27" t="s">
        <v>95</v>
      </c>
      <c r="G12" s="27"/>
      <c r="H12" s="27"/>
      <c r="I12" s="27"/>
    </row>
    <row r="13" customFormat="false" ht="15" hidden="false" customHeight="false" outlineLevel="0" collapsed="false">
      <c r="B13" s="51" t="s">
        <v>120</v>
      </c>
      <c r="C13" s="51"/>
      <c r="D13" s="52" t="n">
        <f aca="false">(前提条件!$C$71/12)</f>
        <v>174895.833333333</v>
      </c>
      <c r="E13" s="52"/>
      <c r="F13" s="54" t="str">
        <f aca="false">"1日 "&amp;TEXT(前提条件!$C$63,"0.0")&amp;"時間分の作業が減る（時給"&amp;TEXT(前提条件!$C$25,"#,##0")&amp;"円）"</f>
        <v>1日 3.8時間分の作業が減る（時給1,500円）</v>
      </c>
      <c r="G13" s="54"/>
      <c r="H13" s="54"/>
      <c r="I13" s="54"/>
    </row>
    <row r="14" customFormat="false" ht="15" hidden="false" customHeight="false" outlineLevel="0" collapsed="false">
      <c r="B14" s="51" t="s">
        <v>121</v>
      </c>
      <c r="C14" s="51"/>
      <c r="D14" s="52" t="n">
        <f aca="false">(前提条件!$C$72/12)</f>
        <v>2920</v>
      </c>
      <c r="E14" s="52"/>
      <c r="F14" s="54" t="s">
        <v>122</v>
      </c>
      <c r="G14" s="54"/>
      <c r="H14" s="54"/>
      <c r="I14" s="54"/>
    </row>
    <row r="15" customFormat="false" ht="15" hidden="false" customHeight="false" outlineLevel="0" collapsed="false">
      <c r="B15" s="51" t="s">
        <v>123</v>
      </c>
      <c r="C15" s="51"/>
      <c r="D15" s="52" t="n">
        <f aca="false">-((前提条件!$C$73+前提条件!$C$74)/12)</f>
        <v>-13887.5</v>
      </c>
      <c r="E15" s="52"/>
      <c r="F15" s="53" t="s">
        <v>124</v>
      </c>
      <c r="G15" s="53"/>
      <c r="H15" s="53"/>
      <c r="I15" s="53"/>
    </row>
    <row r="16" customFormat="false" ht="15" hidden="false" customHeight="false" outlineLevel="0" collapsed="false">
      <c r="B16" s="51" t="s">
        <v>125</v>
      </c>
      <c r="C16" s="51"/>
      <c r="D16" s="52" t="n">
        <f aca="false">-(前提条件!$C$10+前提条件!$C$90)</f>
        <v>-41666.6666666667</v>
      </c>
      <c r="E16" s="52"/>
      <c r="F16" s="54" t="str">
        <f aca="false">"総投資"&amp;TEXT(前提条件!$C$94/10000,"#,##0")&amp;"万円を"&amp;前提条件!$C$9&amp;"年で償却"</f>
        <v>総投資500万円を10年で償却</v>
      </c>
      <c r="G16" s="54"/>
      <c r="H16" s="54"/>
      <c r="I16" s="54"/>
    </row>
    <row r="17" customFormat="false" ht="15" hidden="false" customHeight="false" outlineLevel="0" collapsed="false">
      <c r="B17" s="55" t="s">
        <v>126</v>
      </c>
      <c r="C17" s="55"/>
      <c r="D17" s="56" t="n">
        <f aca="false">前提条件!$C$79</f>
        <v>122261.666666667</v>
      </c>
      <c r="E17" s="56"/>
      <c r="F17" s="57" t="s">
        <v>127</v>
      </c>
      <c r="G17" s="57"/>
      <c r="H17" s="57"/>
      <c r="I17" s="57"/>
    </row>
    <row r="19" customFormat="false" ht="15" hidden="false" customHeight="false" outlineLevel="0" collapsed="false">
      <c r="B19" s="3" t="s">
        <v>128</v>
      </c>
      <c r="C19" s="4"/>
      <c r="D19" s="4"/>
      <c r="E19" s="4"/>
      <c r="F19" s="4"/>
      <c r="G19" s="4"/>
      <c r="H19" s="4"/>
      <c r="I19" s="4"/>
    </row>
    <row r="20" customFormat="false" ht="27.75" hidden="false" customHeight="true" outlineLevel="0" collapsed="false">
      <c r="B20" s="27" t="s">
        <v>107</v>
      </c>
      <c r="C20" s="26" t="s">
        <v>40</v>
      </c>
      <c r="D20" s="26" t="s">
        <v>41</v>
      </c>
      <c r="E20" s="26" t="s">
        <v>42</v>
      </c>
      <c r="F20" s="26" t="s">
        <v>43</v>
      </c>
      <c r="G20" s="26" t="s">
        <v>44</v>
      </c>
      <c r="H20" s="27" t="s">
        <v>108</v>
      </c>
      <c r="I20" s="27" t="s">
        <v>49</v>
      </c>
    </row>
    <row r="21" customFormat="false" ht="15" hidden="false" customHeight="false" outlineLevel="0" collapsed="false">
      <c r="B21" s="28" t="s">
        <v>46</v>
      </c>
      <c r="C21" s="58" t="n">
        <f aca="false">白鳥惣菜PL_導入効果!J152</f>
        <v>-2565.48170000003</v>
      </c>
      <c r="D21" s="58" t="n">
        <f aca="false">白鳥惣菜PL_導入効果!K152</f>
        <v>3454.53829999999</v>
      </c>
      <c r="E21" s="58" t="n">
        <f aca="false">白鳥惣菜PL_導入効果!L152</f>
        <v>3740.43829999998</v>
      </c>
      <c r="F21" s="58" t="n">
        <f aca="false">白鳥惣菜PL_導入効果!M152</f>
        <v>2410.43829999998</v>
      </c>
      <c r="G21" s="58" t="n">
        <f aca="false">白鳥惣菜PL_導入効果!N152</f>
        <v>-3722.29310000001</v>
      </c>
      <c r="H21" s="58" t="n">
        <f aca="false">白鳥惣菜PL_導入効果!P152</f>
        <v>997.74399999989</v>
      </c>
      <c r="I21" s="32"/>
    </row>
    <row r="22" customFormat="false" ht="15" hidden="false" customHeight="false" outlineLevel="0" collapsed="false">
      <c r="B22" s="28" t="s">
        <v>47</v>
      </c>
      <c r="C22" s="58" t="n">
        <f aca="false">白鳥惣菜PL_導入効果!J153</f>
        <v>-2456.84036666667</v>
      </c>
      <c r="D22" s="58" t="n">
        <f aca="false">白鳥惣菜PL_導入効果!K153</f>
        <v>3580.08763333334</v>
      </c>
      <c r="E22" s="58" t="n">
        <f aca="false">白鳥惣菜PL_導入効果!L153</f>
        <v>3860.35163333331</v>
      </c>
      <c r="F22" s="58" t="n">
        <f aca="false">白鳥惣菜PL_導入効果!M153</f>
        <v>2535.98763333331</v>
      </c>
      <c r="G22" s="58" t="n">
        <f aca="false">白鳥惣菜PL_導入効果!N153</f>
        <v>-3602.37976666668</v>
      </c>
      <c r="H22" s="58" t="n">
        <f aca="false">白鳥惣菜PL_導入効果!P153</f>
        <v>1597.3106666666</v>
      </c>
      <c r="I22" s="32"/>
    </row>
    <row r="23" customFormat="false" ht="15" hidden="false" customHeight="false" outlineLevel="0" collapsed="false">
      <c r="B23" s="55" t="s">
        <v>109</v>
      </c>
      <c r="C23" s="59" t="n">
        <f aca="false">白鳥惣菜PL_導入効果!J154</f>
        <v>108.641333333362</v>
      </c>
      <c r="D23" s="59" t="n">
        <f aca="false">白鳥惣菜PL_導入効果!K154</f>
        <v>125.549333333357</v>
      </c>
      <c r="E23" s="59" t="n">
        <f aca="false">白鳥惣菜PL_導入効果!L154</f>
        <v>119.91333333333</v>
      </c>
      <c r="F23" s="59" t="n">
        <f aca="false">白鳥惣菜PL_導入効果!M154</f>
        <v>125.549333333329</v>
      </c>
      <c r="G23" s="59" t="n">
        <f aca="false">白鳥惣菜PL_導入効果!N154</f>
        <v>119.91333333333</v>
      </c>
      <c r="H23" s="59" t="n">
        <f aca="false">白鳥惣菜PL_導入効果!P154</f>
        <v>599.566666666709</v>
      </c>
      <c r="I23" s="60" t="str">
        <f aca="false">白鳥惣菜PL_導入効果!P155</f>
        <v>予算超</v>
      </c>
    </row>
    <row r="24" customFormat="false" ht="15" hidden="false" customHeight="true" outlineLevel="0" collapsed="false">
      <c r="B24" s="63" t="s">
        <v>129</v>
      </c>
      <c r="C24" s="63"/>
      <c r="D24" s="63"/>
      <c r="E24" s="63"/>
      <c r="F24" s="63"/>
      <c r="G24" s="63"/>
      <c r="H24" s="63"/>
      <c r="I24" s="63"/>
    </row>
    <row r="26" customFormat="false" ht="15" hidden="false" customHeight="false" outlineLevel="0" collapsed="false">
      <c r="B26" s="3" t="s">
        <v>130</v>
      </c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B27" s="50" t="str">
        <f aca="false">"・1日の作業人時："&amp;TEXT((前提条件!$G$46/60),"0.0")&amp;"時間 → "&amp;TEXT((前提条件!$G$59/60),"0.0")&amp;"時間（▲"&amp;TEXT(前提条件!$C$63,"0.0")&amp;"時間）"</f>
        <v>・1日の作業人時：9.6時間 → 5.8時間（▲3.8時間）</v>
      </c>
      <c r="C27" s="50"/>
      <c r="D27" s="50"/>
      <c r="E27" s="50"/>
      <c r="F27" s="50"/>
      <c r="G27" s="50"/>
      <c r="H27" s="50"/>
      <c r="I27" s="50"/>
    </row>
    <row r="28" customFormat="false" ht="15" hidden="false" customHeight="true" outlineLevel="0" collapsed="false">
      <c r="B28" s="50" t="s">
        <v>131</v>
      </c>
      <c r="C28" s="50"/>
      <c r="D28" s="50"/>
      <c r="E28" s="50"/>
      <c r="F28" s="50"/>
      <c r="G28" s="50"/>
      <c r="H28" s="50"/>
      <c r="I28" s="50"/>
    </row>
    <row r="29" customFormat="false" ht="15" hidden="false" customHeight="true" outlineLevel="0" collapsed="false">
      <c r="B29" s="50" t="s">
        <v>132</v>
      </c>
      <c r="C29" s="50"/>
      <c r="D29" s="50"/>
      <c r="E29" s="50"/>
      <c r="F29" s="50"/>
      <c r="G29" s="50"/>
      <c r="H29" s="50"/>
      <c r="I29" s="50"/>
    </row>
    <row r="30" customFormat="false" ht="15" hidden="false" customHeight="true" outlineLevel="0" collapsed="false">
      <c r="B30" s="50" t="s">
        <v>133</v>
      </c>
      <c r="C30" s="50"/>
      <c r="D30" s="50"/>
      <c r="E30" s="50"/>
      <c r="F30" s="50"/>
      <c r="G30" s="50"/>
      <c r="H30" s="50"/>
      <c r="I30" s="50"/>
    </row>
    <row r="32" customFormat="false" ht="15" hidden="false" customHeight="false" outlineLevel="0" collapsed="false">
      <c r="B32" s="3" t="s">
        <v>134</v>
      </c>
      <c r="C32" s="4"/>
      <c r="D32" s="4"/>
      <c r="E32" s="4"/>
      <c r="F32" s="4"/>
      <c r="G32" s="4"/>
      <c r="H32" s="4"/>
      <c r="I32" s="4"/>
    </row>
    <row r="33" customFormat="false" ht="30" hidden="false" customHeight="true" outlineLevel="0" collapsed="false">
      <c r="B33" s="50" t="str">
        <f aca="false">"・減った"&amp;TEXT(前提条件!$C$63,"0.0")&amp;"時間分のパートシフトを実際に調整する（または他工程へ再配置し残業・派遣を削減）"</f>
        <v>・減った3.8時間分のパートシフトを実際に調整する（または他工程へ再配置し残業・派遣を削減）</v>
      </c>
      <c r="C33" s="50"/>
      <c r="D33" s="50"/>
      <c r="E33" s="50"/>
      <c r="F33" s="50"/>
      <c r="G33" s="50"/>
      <c r="H33" s="50"/>
      <c r="I33" s="50"/>
    </row>
    <row r="34" customFormat="false" ht="15" hidden="false" customHeight="false" outlineLevel="0" collapsed="false">
      <c r="B34" s="50" t="str">
        <f aca="false">"・効果が見込みの"&amp;TEXT(前提条件!$C$82,"0%")&amp;"程度まで下がっても、償却後の利益はマイナスになりません"</f>
        <v>・効果が見込みの31%程度まで下がっても、償却後の利益はマイナスになりません</v>
      </c>
      <c r="C34" s="50"/>
      <c r="D34" s="50"/>
      <c r="E34" s="50"/>
      <c r="F34" s="50"/>
      <c r="G34" s="50"/>
      <c r="H34" s="50"/>
      <c r="I34" s="50"/>
    </row>
  </sheetData>
  <mergeCells count="28">
    <mergeCell ref="B4:I5"/>
    <mergeCell ref="B8:I8"/>
    <mergeCell ref="B9:I9"/>
    <mergeCell ref="B12:C12"/>
    <mergeCell ref="D12:E12"/>
    <mergeCell ref="F12:I12"/>
    <mergeCell ref="B13:C13"/>
    <mergeCell ref="D13:E13"/>
    <mergeCell ref="F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B17:C17"/>
    <mergeCell ref="D17:E17"/>
    <mergeCell ref="F17:I17"/>
    <mergeCell ref="B24:I24"/>
    <mergeCell ref="B27:I27"/>
    <mergeCell ref="B28:I28"/>
    <mergeCell ref="B29:I29"/>
    <mergeCell ref="B30:I30"/>
    <mergeCell ref="B33:I33"/>
    <mergeCell ref="B34:I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52"/>
  </cols>
  <sheetData>
    <row r="1" customFormat="false" ht="17.35" hidden="false" customHeight="false" outlineLevel="0" collapsed="false">
      <c r="B1" s="64" t="s">
        <v>135</v>
      </c>
    </row>
    <row r="2" customFormat="false" ht="15" hidden="false" customHeight="false" outlineLevel="0" collapsed="false">
      <c r="B2" s="14" t="s">
        <v>136</v>
      </c>
    </row>
    <row r="4" customFormat="false" ht="15" hidden="false" customHeight="false" outlineLevel="0" collapsed="false">
      <c r="B4" s="3" t="s">
        <v>137</v>
      </c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B5" s="5" t="s">
        <v>138</v>
      </c>
      <c r="C5" s="38" t="n">
        <v>4500000</v>
      </c>
      <c r="D5" s="62" t="s">
        <v>139</v>
      </c>
      <c r="H5" s="14" t="s">
        <v>140</v>
      </c>
    </row>
    <row r="6" customFormat="false" ht="15" hidden="false" customHeight="false" outlineLevel="0" collapsed="false">
      <c r="B6" s="5" t="s">
        <v>5</v>
      </c>
      <c r="C6" s="65" t="n">
        <v>2</v>
      </c>
      <c r="D6" s="62" t="s">
        <v>141</v>
      </c>
      <c r="H6" s="14" t="s">
        <v>142</v>
      </c>
    </row>
    <row r="7" customFormat="false" ht="15" hidden="false" customHeight="false" outlineLevel="0" collapsed="false">
      <c r="B7" s="5" t="s">
        <v>11</v>
      </c>
      <c r="C7" s="29" t="n">
        <f aca="false">C85</f>
        <v>500000</v>
      </c>
      <c r="D7" s="62" t="s">
        <v>139</v>
      </c>
      <c r="H7" s="14" t="s">
        <v>143</v>
      </c>
    </row>
    <row r="8" customFormat="false" ht="15" hidden="false" customHeight="false" outlineLevel="0" collapsed="false">
      <c r="B8" s="5" t="s">
        <v>144</v>
      </c>
      <c r="C8" s="39" t="n">
        <f aca="false">C5</f>
        <v>4500000</v>
      </c>
      <c r="D8" s="62" t="s">
        <v>139</v>
      </c>
      <c r="H8" s="14" t="s">
        <v>145</v>
      </c>
    </row>
    <row r="9" customFormat="false" ht="15" hidden="false" customHeight="false" outlineLevel="0" collapsed="false">
      <c r="B9" s="5" t="s">
        <v>146</v>
      </c>
      <c r="C9" s="65" t="n">
        <v>10</v>
      </c>
      <c r="D9" s="62" t="s">
        <v>147</v>
      </c>
      <c r="H9" s="14" t="s">
        <v>148</v>
      </c>
    </row>
    <row r="10" customFormat="false" ht="15" hidden="false" customHeight="false" outlineLevel="0" collapsed="false">
      <c r="B10" s="5" t="s">
        <v>149</v>
      </c>
      <c r="C10" s="39" t="n">
        <f aca="false">C8/(C9*12)</f>
        <v>37500</v>
      </c>
      <c r="D10" s="62" t="s">
        <v>150</v>
      </c>
      <c r="H10" s="14" t="s">
        <v>151</v>
      </c>
    </row>
    <row r="11" customFormat="false" ht="15" hidden="false" customHeight="false" outlineLevel="0" collapsed="false">
      <c r="B11" s="5" t="s">
        <v>152</v>
      </c>
      <c r="C11" s="66" t="n">
        <v>46419</v>
      </c>
      <c r="D11" s="2"/>
      <c r="H11" s="24" t="s">
        <v>153</v>
      </c>
    </row>
    <row r="12" customFormat="false" ht="15" hidden="false" customHeight="false" outlineLevel="0" collapsed="false">
      <c r="B12" s="5" t="s">
        <v>154</v>
      </c>
      <c r="C12" s="65" t="n">
        <v>5</v>
      </c>
      <c r="D12" s="62" t="s">
        <v>155</v>
      </c>
      <c r="H12" s="14" t="s">
        <v>156</v>
      </c>
    </row>
    <row r="13" customFormat="false" ht="15" hidden="false" customHeight="false" outlineLevel="0" collapsed="false">
      <c r="B13" s="67" t="s">
        <v>157</v>
      </c>
      <c r="C13" s="68" t="n">
        <f aca="false">C94</f>
        <v>5000000</v>
      </c>
    </row>
    <row r="14" customFormat="false" ht="15" hidden="false" customHeight="false" outlineLevel="0" collapsed="false">
      <c r="B14" s="3" t="s">
        <v>158</v>
      </c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B15" s="5" t="s">
        <v>159</v>
      </c>
      <c r="C15" s="69" t="s">
        <v>160</v>
      </c>
    </row>
    <row r="16" customFormat="false" ht="15" hidden="false" customHeight="false" outlineLevel="0" collapsed="false">
      <c r="B16" s="5" t="s">
        <v>161</v>
      </c>
      <c r="C16" s="69" t="s">
        <v>162</v>
      </c>
    </row>
    <row r="17" customFormat="false" ht="15" hidden="false" customHeight="false" outlineLevel="0" collapsed="false">
      <c r="B17" s="5" t="s">
        <v>163</v>
      </c>
      <c r="C17" s="69" t="s">
        <v>164</v>
      </c>
    </row>
    <row r="18" customFormat="false" ht="15" hidden="false" customHeight="false" outlineLevel="0" collapsed="false">
      <c r="B18" s="5" t="s">
        <v>165</v>
      </c>
      <c r="C18" s="69" t="s">
        <v>166</v>
      </c>
    </row>
    <row r="19" customFormat="false" ht="15" hidden="false" customHeight="false" outlineLevel="0" collapsed="false">
      <c r="B19" s="5" t="s">
        <v>167</v>
      </c>
      <c r="C19" s="69" t="s">
        <v>168</v>
      </c>
    </row>
    <row r="20" customFormat="false" ht="15" hidden="false" customHeight="false" outlineLevel="0" collapsed="false">
      <c r="B20" s="5" t="s">
        <v>169</v>
      </c>
      <c r="C20" s="69" t="s">
        <v>170</v>
      </c>
    </row>
    <row r="21" customFormat="false" ht="15" hidden="false" customHeight="false" outlineLevel="0" collapsed="false">
      <c r="B21" s="5" t="s">
        <v>171</v>
      </c>
      <c r="C21" s="5" t="s">
        <v>172</v>
      </c>
    </row>
    <row r="22" customFormat="false" ht="15" hidden="false" customHeight="false" outlineLevel="0" collapsed="false">
      <c r="B22" s="5" t="s">
        <v>173</v>
      </c>
      <c r="C22" s="5" t="s">
        <v>174</v>
      </c>
    </row>
    <row r="24" customFormat="false" ht="15" hidden="false" customHeight="false" outlineLevel="0" collapsed="false">
      <c r="B24" s="3" t="s">
        <v>175</v>
      </c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B25" s="5" t="s">
        <v>176</v>
      </c>
      <c r="C25" s="38" t="n">
        <v>1500</v>
      </c>
      <c r="D25" s="62" t="s">
        <v>177</v>
      </c>
      <c r="H25" s="14" t="s">
        <v>178</v>
      </c>
    </row>
    <row r="26" customFormat="false" ht="15" hidden="false" customHeight="false" outlineLevel="0" collapsed="false">
      <c r="B26" s="5" t="s">
        <v>179</v>
      </c>
      <c r="C26" s="65" t="n">
        <v>365</v>
      </c>
      <c r="D26" s="62" t="s">
        <v>180</v>
      </c>
      <c r="H26" s="14" t="s">
        <v>181</v>
      </c>
    </row>
    <row r="27" customFormat="false" ht="15" hidden="false" customHeight="false" outlineLevel="0" collapsed="false">
      <c r="B27" s="5" t="s">
        <v>182</v>
      </c>
      <c r="C27" s="38" t="n">
        <v>30</v>
      </c>
      <c r="D27" s="62" t="s">
        <v>183</v>
      </c>
      <c r="H27" s="14" t="s">
        <v>184</v>
      </c>
    </row>
    <row r="28" customFormat="false" ht="15" hidden="false" customHeight="false" outlineLevel="0" collapsed="false">
      <c r="B28" s="5" t="s">
        <v>185</v>
      </c>
      <c r="C28" s="70" t="n">
        <v>0.4</v>
      </c>
      <c r="D28" s="2" t="s">
        <v>186</v>
      </c>
      <c r="H28" s="14" t="s">
        <v>187</v>
      </c>
    </row>
    <row r="29" customFormat="false" ht="15" hidden="false" customHeight="false" outlineLevel="0" collapsed="false">
      <c r="B29" s="69" t="s">
        <v>188</v>
      </c>
      <c r="C29" s="71" t="n">
        <f aca="false">(MAX(D50:D58)-MIN(C50:C58))*24</f>
        <v>2.5</v>
      </c>
      <c r="D29" s="2" t="s">
        <v>189</v>
      </c>
      <c r="H29" s="14" t="s">
        <v>190</v>
      </c>
    </row>
    <row r="30" customFormat="false" ht="15" hidden="false" customHeight="false" outlineLevel="0" collapsed="false">
      <c r="B30" s="5" t="s">
        <v>191</v>
      </c>
      <c r="C30" s="38" t="n">
        <v>150</v>
      </c>
      <c r="D30" s="62" t="s">
        <v>192</v>
      </c>
      <c r="H30" s="14" t="s">
        <v>193</v>
      </c>
    </row>
    <row r="31" customFormat="false" ht="15" hidden="false" customHeight="false" outlineLevel="0" collapsed="false">
      <c r="B31" s="5" t="s">
        <v>194</v>
      </c>
      <c r="C31" s="72" t="n">
        <v>0.02</v>
      </c>
      <c r="D31" s="62" t="s">
        <v>195</v>
      </c>
      <c r="H31" s="14" t="s">
        <v>196</v>
      </c>
    </row>
    <row r="32" customFormat="false" ht="15" hidden="false" customHeight="false" outlineLevel="0" collapsed="false">
      <c r="B32" s="5" t="s">
        <v>197</v>
      </c>
      <c r="C32" s="38" t="n">
        <v>16</v>
      </c>
      <c r="D32" s="62" t="s">
        <v>198</v>
      </c>
      <c r="H32" s="14" t="s">
        <v>199</v>
      </c>
    </row>
    <row r="33" customFormat="false" ht="15" hidden="false" customHeight="false" outlineLevel="0" collapsed="false">
      <c r="B33" s="5" t="s">
        <v>200</v>
      </c>
      <c r="C33" s="65" t="n">
        <v>4</v>
      </c>
      <c r="D33" s="62" t="s">
        <v>201</v>
      </c>
      <c r="H33" s="14" t="s">
        <v>202</v>
      </c>
    </row>
    <row r="34" customFormat="false" ht="15" hidden="false" customHeight="false" outlineLevel="0" collapsed="false">
      <c r="B34" s="5" t="s">
        <v>203</v>
      </c>
      <c r="C34" s="65" t="n">
        <v>2</v>
      </c>
      <c r="D34" s="62" t="s">
        <v>201</v>
      </c>
      <c r="H34" s="14" t="s">
        <v>202</v>
      </c>
    </row>
    <row r="36" customFormat="false" ht="15" hidden="false" customHeight="false" outlineLevel="0" collapsed="false">
      <c r="B36" s="3" t="s">
        <v>204</v>
      </c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B37" s="27" t="s">
        <v>205</v>
      </c>
      <c r="C37" s="27" t="s">
        <v>206</v>
      </c>
      <c r="D37" s="27" t="s">
        <v>207</v>
      </c>
      <c r="E37" s="27" t="s">
        <v>208</v>
      </c>
      <c r="F37" s="27" t="s">
        <v>209</v>
      </c>
      <c r="G37" s="27" t="s">
        <v>210</v>
      </c>
    </row>
    <row r="38" customFormat="false" ht="15" hidden="false" customHeight="false" outlineLevel="0" collapsed="false">
      <c r="B38" s="51" t="s">
        <v>211</v>
      </c>
      <c r="C38" s="73" t="n">
        <v>0.541666666666667</v>
      </c>
      <c r="D38" s="73" t="n">
        <v>0.548611111111111</v>
      </c>
      <c r="E38" s="74" t="n">
        <f aca="false">ROUND((D38-C38)*1440,0)</f>
        <v>10</v>
      </c>
      <c r="F38" s="75" t="n">
        <v>2</v>
      </c>
      <c r="G38" s="71" t="n">
        <f aca="false">E38*F38</f>
        <v>20</v>
      </c>
      <c r="H38" s="14" t="s">
        <v>212</v>
      </c>
    </row>
    <row r="39" customFormat="false" ht="15" hidden="false" customHeight="false" outlineLevel="0" collapsed="false">
      <c r="B39" s="51" t="s">
        <v>213</v>
      </c>
      <c r="C39" s="73" t="n">
        <v>0.548611111111111</v>
      </c>
      <c r="D39" s="73" t="n">
        <v>0.645833333333333</v>
      </c>
      <c r="E39" s="74" t="n">
        <f aca="false">ROUND((D39-C39)*1440,0)</f>
        <v>140</v>
      </c>
      <c r="F39" s="75" t="n">
        <v>0.5</v>
      </c>
      <c r="G39" s="71" t="n">
        <f aca="false">E39*F39</f>
        <v>70</v>
      </c>
    </row>
    <row r="40" customFormat="false" ht="15" hidden="false" customHeight="false" outlineLevel="0" collapsed="false">
      <c r="B40" s="51" t="s">
        <v>214</v>
      </c>
      <c r="C40" s="73" t="n">
        <v>0.548611111111111</v>
      </c>
      <c r="D40" s="73" t="n">
        <v>0.645833333333333</v>
      </c>
      <c r="E40" s="74" t="n">
        <f aca="false">ROUND((D40-C40)*1440,0)</f>
        <v>140</v>
      </c>
      <c r="F40" s="75" t="n">
        <v>0.5</v>
      </c>
      <c r="G40" s="71" t="n">
        <f aca="false">E40*F40</f>
        <v>70</v>
      </c>
    </row>
    <row r="41" customFormat="false" ht="15" hidden="false" customHeight="false" outlineLevel="0" collapsed="false">
      <c r="B41" s="51" t="s">
        <v>215</v>
      </c>
      <c r="C41" s="73" t="n">
        <v>0.541666666666667</v>
      </c>
      <c r="D41" s="73" t="n">
        <v>0.583333333333333</v>
      </c>
      <c r="E41" s="74" t="n">
        <f aca="false">ROUND((D41-C41)*1440,0)</f>
        <v>60</v>
      </c>
      <c r="F41" s="75" t="n">
        <v>1</v>
      </c>
      <c r="G41" s="71" t="n">
        <f aca="false">E41*F41</f>
        <v>60</v>
      </c>
    </row>
    <row r="42" customFormat="false" ht="15" hidden="false" customHeight="false" outlineLevel="0" collapsed="false">
      <c r="B42" s="51" t="s">
        <v>216</v>
      </c>
      <c r="C42" s="73" t="n">
        <v>0.552083333333333</v>
      </c>
      <c r="D42" s="73" t="n">
        <v>0.614583333333333</v>
      </c>
      <c r="E42" s="74" t="n">
        <f aca="false">ROUND((D42-C42)*1440,0)</f>
        <v>90</v>
      </c>
      <c r="F42" s="75" t="n">
        <v>1</v>
      </c>
      <c r="G42" s="71" t="n">
        <f aca="false">E42*F42</f>
        <v>90</v>
      </c>
    </row>
    <row r="43" customFormat="false" ht="15" hidden="false" customHeight="false" outlineLevel="0" collapsed="false">
      <c r="B43" s="51" t="s">
        <v>217</v>
      </c>
      <c r="C43" s="73" t="n">
        <v>0.552083333333333</v>
      </c>
      <c r="D43" s="73" t="n">
        <v>0.614583333333333</v>
      </c>
      <c r="E43" s="74" t="n">
        <f aca="false">ROUND((D43-C43)*1440,0)</f>
        <v>90</v>
      </c>
      <c r="F43" s="75" t="n">
        <v>1</v>
      </c>
      <c r="G43" s="71" t="n">
        <f aca="false">E43*F43</f>
        <v>90</v>
      </c>
    </row>
    <row r="44" customFormat="false" ht="15" hidden="false" customHeight="false" outlineLevel="0" collapsed="false">
      <c r="B44" s="51" t="s">
        <v>218</v>
      </c>
      <c r="C44" s="73" t="n">
        <v>0.555555555555556</v>
      </c>
      <c r="D44" s="73" t="n">
        <v>0.618055555555556</v>
      </c>
      <c r="E44" s="74" t="n">
        <f aca="false">ROUND((D44-C44)*1440,0)</f>
        <v>90</v>
      </c>
      <c r="F44" s="75" t="n">
        <v>1</v>
      </c>
      <c r="G44" s="71" t="n">
        <f aca="false">E44*F44</f>
        <v>90</v>
      </c>
    </row>
    <row r="45" customFormat="false" ht="15" hidden="false" customHeight="false" outlineLevel="0" collapsed="false">
      <c r="B45" s="51" t="s">
        <v>219</v>
      </c>
      <c r="C45" s="73" t="n">
        <v>0.559027777777778</v>
      </c>
      <c r="D45" s="73" t="n">
        <v>0.618055555555556</v>
      </c>
      <c r="E45" s="74" t="n">
        <f aca="false">ROUND((D45-C45)*1440,0)</f>
        <v>85</v>
      </c>
      <c r="F45" s="75" t="n">
        <v>1</v>
      </c>
      <c r="G45" s="71" t="n">
        <f aca="false">E45*F45</f>
        <v>85</v>
      </c>
    </row>
    <row r="46" customFormat="false" ht="15" hidden="false" customHeight="false" outlineLevel="0" collapsed="false">
      <c r="B46" s="76" t="s">
        <v>220</v>
      </c>
      <c r="C46" s="77"/>
      <c r="D46" s="77"/>
      <c r="E46" s="77"/>
      <c r="F46" s="77"/>
      <c r="G46" s="78" t="n">
        <f aca="false">SUM(G38:G45)</f>
        <v>575</v>
      </c>
    </row>
    <row r="48" customFormat="false" ht="15" hidden="false" customHeight="false" outlineLevel="0" collapsed="false">
      <c r="B48" s="3" t="s">
        <v>221</v>
      </c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B49" s="27" t="s">
        <v>205</v>
      </c>
      <c r="C49" s="27" t="s">
        <v>206</v>
      </c>
      <c r="D49" s="27" t="s">
        <v>207</v>
      </c>
      <c r="E49" s="27" t="s">
        <v>208</v>
      </c>
      <c r="F49" s="27" t="s">
        <v>209</v>
      </c>
      <c r="G49" s="27" t="s">
        <v>210</v>
      </c>
    </row>
    <row r="50" customFormat="false" ht="15" hidden="false" customHeight="false" outlineLevel="0" collapsed="false">
      <c r="B50" s="51" t="s">
        <v>211</v>
      </c>
      <c r="C50" s="73" t="n">
        <v>0.541666666666667</v>
      </c>
      <c r="D50" s="73" t="n">
        <v>0.555555555555556</v>
      </c>
      <c r="E50" s="74" t="n">
        <f aca="false">ROUND((D50-C50)*1440,0)</f>
        <v>20</v>
      </c>
      <c r="F50" s="75" t="n">
        <v>1</v>
      </c>
      <c r="G50" s="71" t="n">
        <f aca="false">E50*F50</f>
        <v>20</v>
      </c>
      <c r="H50" s="14" t="s">
        <v>222</v>
      </c>
    </row>
    <row r="51" customFormat="false" ht="15" hidden="false" customHeight="false" outlineLevel="0" collapsed="false">
      <c r="B51" s="51" t="s">
        <v>223</v>
      </c>
      <c r="C51" s="73" t="n">
        <v>0.541666666666667</v>
      </c>
      <c r="D51" s="73" t="n">
        <v>0.555555555555556</v>
      </c>
      <c r="E51" s="74" t="n">
        <f aca="false">ROUND((D51-C51)*1440,0)</f>
        <v>20</v>
      </c>
      <c r="F51" s="75" t="n">
        <v>2</v>
      </c>
      <c r="G51" s="71" t="n">
        <f aca="false">E51*F51</f>
        <v>40</v>
      </c>
    </row>
    <row r="52" customFormat="false" ht="15" hidden="false" customHeight="false" outlineLevel="0" collapsed="false">
      <c r="B52" s="51" t="s">
        <v>224</v>
      </c>
      <c r="C52" s="73" t="n">
        <v>0.555555555555556</v>
      </c>
      <c r="D52" s="73" t="n">
        <v>0.583333333333333</v>
      </c>
      <c r="E52" s="74" t="n">
        <f aca="false">ROUND((D52-C52)*1440,0)</f>
        <v>40</v>
      </c>
      <c r="F52" s="75" t="n">
        <v>0.5</v>
      </c>
      <c r="G52" s="71" t="n">
        <f aca="false">E52*F52</f>
        <v>20</v>
      </c>
    </row>
    <row r="53" customFormat="false" ht="15" hidden="false" customHeight="false" outlineLevel="0" collapsed="false">
      <c r="B53" s="51" t="s">
        <v>225</v>
      </c>
      <c r="C53" s="73" t="n">
        <v>0.555555555555556</v>
      </c>
      <c r="D53" s="73" t="n">
        <v>0.583333333333333</v>
      </c>
      <c r="E53" s="74" t="n">
        <f aca="false">ROUND((D53-C53)*1440,0)</f>
        <v>40</v>
      </c>
      <c r="F53" s="75" t="n">
        <v>0.5</v>
      </c>
      <c r="G53" s="71" t="n">
        <f aca="false">E53*F53</f>
        <v>20</v>
      </c>
    </row>
    <row r="54" customFormat="false" ht="15" hidden="false" customHeight="false" outlineLevel="0" collapsed="false">
      <c r="B54" s="51" t="s">
        <v>216</v>
      </c>
      <c r="C54" s="73" t="n">
        <v>0.555555555555556</v>
      </c>
      <c r="D54" s="73" t="n">
        <v>0.590277777777778</v>
      </c>
      <c r="E54" s="74" t="n">
        <f aca="false">ROUND((D54-C54)*1440,0)</f>
        <v>50</v>
      </c>
      <c r="F54" s="75" t="n">
        <v>1</v>
      </c>
      <c r="G54" s="71" t="n">
        <f aca="false">E54*F54</f>
        <v>50</v>
      </c>
    </row>
    <row r="55" customFormat="false" ht="15" hidden="false" customHeight="false" outlineLevel="0" collapsed="false">
      <c r="B55" s="51" t="s">
        <v>217</v>
      </c>
      <c r="C55" s="73" t="n">
        <v>0.555555555555556</v>
      </c>
      <c r="D55" s="73" t="n">
        <v>0.590277777777778</v>
      </c>
      <c r="E55" s="74" t="n">
        <f aca="false">ROUND((D55-C55)*1440,0)</f>
        <v>50</v>
      </c>
      <c r="F55" s="75" t="n">
        <v>1</v>
      </c>
      <c r="G55" s="71" t="n">
        <f aca="false">E55*F55</f>
        <v>50</v>
      </c>
    </row>
    <row r="56" customFormat="false" ht="15" hidden="false" customHeight="false" outlineLevel="0" collapsed="false">
      <c r="B56" s="51" t="s">
        <v>218</v>
      </c>
      <c r="C56" s="73" t="n">
        <v>0.555555555555556</v>
      </c>
      <c r="D56" s="73" t="n">
        <v>0.59375</v>
      </c>
      <c r="E56" s="74" t="n">
        <f aca="false">ROUND((D56-C56)*1440,0)</f>
        <v>55</v>
      </c>
      <c r="F56" s="75" t="n">
        <v>1</v>
      </c>
      <c r="G56" s="71" t="n">
        <f aca="false">E56*F56</f>
        <v>55</v>
      </c>
    </row>
    <row r="57" customFormat="false" ht="15" hidden="false" customHeight="false" outlineLevel="0" collapsed="false">
      <c r="B57" s="51" t="s">
        <v>219</v>
      </c>
      <c r="C57" s="73" t="n">
        <v>0.559027777777778</v>
      </c>
      <c r="D57" s="73" t="n">
        <v>0.59375</v>
      </c>
      <c r="E57" s="74" t="n">
        <f aca="false">ROUND((D57-C57)*1440,0)</f>
        <v>50</v>
      </c>
      <c r="F57" s="75" t="n">
        <v>1</v>
      </c>
      <c r="G57" s="71" t="n">
        <f aca="false">E57*F57</f>
        <v>50</v>
      </c>
    </row>
    <row r="58" customFormat="false" ht="15" hidden="false" customHeight="false" outlineLevel="0" collapsed="false">
      <c r="B58" s="51" t="s">
        <v>226</v>
      </c>
      <c r="C58" s="73" t="n">
        <v>0.631944444444444</v>
      </c>
      <c r="D58" s="73" t="n">
        <v>0.645833333333333</v>
      </c>
      <c r="E58" s="74" t="n">
        <f aca="false">ROUND((D58-C58)*1440,0)</f>
        <v>20</v>
      </c>
      <c r="F58" s="75" t="n">
        <v>2</v>
      </c>
      <c r="G58" s="71" t="n">
        <f aca="false">E58*F58</f>
        <v>40</v>
      </c>
    </row>
    <row r="59" customFormat="false" ht="15" hidden="false" customHeight="false" outlineLevel="0" collapsed="false">
      <c r="B59" s="76" t="s">
        <v>220</v>
      </c>
      <c r="C59" s="77"/>
      <c r="D59" s="77"/>
      <c r="E59" s="77"/>
      <c r="F59" s="77"/>
      <c r="G59" s="78" t="n">
        <f aca="false">SUM(G50:G58)</f>
        <v>345</v>
      </c>
    </row>
    <row r="61" customFormat="false" ht="15" hidden="false" customHeight="false" outlineLevel="0" collapsed="false">
      <c r="B61" s="21" t="s">
        <v>29</v>
      </c>
      <c r="C61" s="4"/>
      <c r="D61" s="4"/>
      <c r="E61" s="4"/>
      <c r="F61" s="4"/>
      <c r="G61" s="4"/>
      <c r="H61" s="4"/>
    </row>
    <row r="62" customFormat="false" ht="15" hidden="false" customHeight="false" outlineLevel="0" collapsed="false">
      <c r="B62" s="5" t="s">
        <v>227</v>
      </c>
      <c r="C62" s="71" t="n">
        <f aca="false">G46-G59</f>
        <v>230</v>
      </c>
      <c r="D62" s="62" t="s">
        <v>228</v>
      </c>
      <c r="H62" s="14" t="s">
        <v>229</v>
      </c>
    </row>
    <row r="63" customFormat="false" ht="15" hidden="false" customHeight="false" outlineLevel="0" collapsed="false">
      <c r="B63" s="5" t="s">
        <v>230</v>
      </c>
      <c r="C63" s="79" t="n">
        <f aca="false">C62/60</f>
        <v>3.83333333333333</v>
      </c>
      <c r="D63" s="2" t="s">
        <v>231</v>
      </c>
      <c r="H63" s="14"/>
    </row>
    <row r="64" customFormat="false" ht="15" hidden="false" customHeight="false" outlineLevel="0" collapsed="false">
      <c r="B64" s="5" t="s">
        <v>232</v>
      </c>
      <c r="C64" s="39" t="n">
        <f aca="false">C63*C25</f>
        <v>5750</v>
      </c>
      <c r="D64" s="62" t="s">
        <v>192</v>
      </c>
      <c r="H64" s="14" t="s">
        <v>233</v>
      </c>
    </row>
    <row r="65" customFormat="false" ht="15" hidden="false" customHeight="false" outlineLevel="0" collapsed="false">
      <c r="B65" s="5" t="s">
        <v>234</v>
      </c>
      <c r="C65" s="39" t="n">
        <f aca="false">C32*(C33+C34)</f>
        <v>96</v>
      </c>
      <c r="D65" s="62" t="s">
        <v>192</v>
      </c>
      <c r="H65" s="14" t="s">
        <v>235</v>
      </c>
    </row>
    <row r="66" customFormat="false" ht="15" hidden="false" customHeight="false" outlineLevel="0" collapsed="false">
      <c r="B66" s="5" t="s">
        <v>236</v>
      </c>
      <c r="C66" s="39" t="n">
        <f aca="false">C28*C6*C29*C27</f>
        <v>60</v>
      </c>
      <c r="D66" s="62" t="s">
        <v>192</v>
      </c>
      <c r="H66" s="24" t="s">
        <v>237</v>
      </c>
    </row>
    <row r="67" customFormat="false" ht="15" hidden="false" customHeight="false" outlineLevel="0" collapsed="false">
      <c r="B67" s="5" t="s">
        <v>238</v>
      </c>
      <c r="C67" s="39" t="n">
        <f aca="false">C30</f>
        <v>150</v>
      </c>
      <c r="D67" s="62" t="s">
        <v>192</v>
      </c>
      <c r="H67" s="14"/>
    </row>
    <row r="68" customFormat="false" ht="15" hidden="false" customHeight="false" outlineLevel="0" collapsed="false">
      <c r="B68" s="69" t="s">
        <v>239</v>
      </c>
      <c r="C68" s="80" t="n">
        <f aca="false">C64+C65-C66-C67</f>
        <v>5636</v>
      </c>
      <c r="D68" s="62" t="s">
        <v>192</v>
      </c>
      <c r="H68" s="14"/>
    </row>
    <row r="70" customFormat="false" ht="15" hidden="false" customHeight="false" outlineLevel="0" collapsed="false">
      <c r="B70" s="3" t="s">
        <v>240</v>
      </c>
      <c r="C70" s="4"/>
      <c r="D70" s="4"/>
      <c r="E70" s="4"/>
      <c r="F70" s="4"/>
      <c r="G70" s="4"/>
      <c r="H70" s="4"/>
    </row>
    <row r="71" customFormat="false" ht="15" hidden="false" customHeight="false" outlineLevel="0" collapsed="false">
      <c r="B71" s="5" t="s">
        <v>241</v>
      </c>
      <c r="C71" s="39" t="n">
        <f aca="false">C64*C26</f>
        <v>2098750</v>
      </c>
      <c r="D71" s="62" t="s">
        <v>242</v>
      </c>
      <c r="H71" s="14"/>
    </row>
    <row r="72" customFormat="false" ht="15" hidden="false" customHeight="false" outlineLevel="0" collapsed="false">
      <c r="B72" s="5" t="s">
        <v>243</v>
      </c>
      <c r="C72" s="39" t="n">
        <f aca="false">C65*C26</f>
        <v>35040</v>
      </c>
      <c r="D72" s="62" t="s">
        <v>242</v>
      </c>
      <c r="H72" s="14"/>
    </row>
    <row r="73" customFormat="false" ht="15" hidden="false" customHeight="false" outlineLevel="0" collapsed="false">
      <c r="B73" s="5" t="s">
        <v>244</v>
      </c>
      <c r="C73" s="39" t="n">
        <f aca="false">(C66+C67)*C26</f>
        <v>76650</v>
      </c>
      <c r="D73" s="62" t="s">
        <v>242</v>
      </c>
      <c r="H73" s="14"/>
    </row>
    <row r="74" customFormat="false" ht="15" hidden="false" customHeight="false" outlineLevel="0" collapsed="false">
      <c r="B74" s="5" t="s">
        <v>245</v>
      </c>
      <c r="C74" s="39" t="n">
        <f aca="false">C8*C31</f>
        <v>90000</v>
      </c>
      <c r="D74" s="62" t="s">
        <v>242</v>
      </c>
      <c r="H74" s="14"/>
    </row>
    <row r="75" customFormat="false" ht="15" hidden="false" customHeight="false" outlineLevel="0" collapsed="false">
      <c r="B75" s="5" t="s">
        <v>246</v>
      </c>
      <c r="C75" s="80" t="n">
        <f aca="false">C71+C72-C73-C74</f>
        <v>1967140</v>
      </c>
      <c r="D75" s="62" t="s">
        <v>242</v>
      </c>
      <c r="H75" s="14" t="s">
        <v>247</v>
      </c>
    </row>
    <row r="76" customFormat="false" ht="15" hidden="false" customHeight="false" outlineLevel="0" collapsed="false">
      <c r="B76" s="5" t="s">
        <v>248</v>
      </c>
      <c r="C76" s="39" t="n">
        <f aca="false">C75/12</f>
        <v>163928.333333333</v>
      </c>
      <c r="D76" s="62" t="s">
        <v>150</v>
      </c>
      <c r="H76" s="14"/>
    </row>
    <row r="77" customFormat="false" ht="15" hidden="false" customHeight="false" outlineLevel="0" collapsed="false">
      <c r="B77" s="5" t="s">
        <v>249</v>
      </c>
      <c r="C77" s="39" t="n">
        <f aca="false">(C10+C90)*12</f>
        <v>500000</v>
      </c>
      <c r="D77" s="62" t="s">
        <v>242</v>
      </c>
      <c r="H77" s="14" t="s">
        <v>250</v>
      </c>
    </row>
    <row r="78" customFormat="false" ht="15" hidden="false" customHeight="false" outlineLevel="0" collapsed="false">
      <c r="B78" s="5" t="s">
        <v>251</v>
      </c>
      <c r="C78" s="80" t="n">
        <f aca="false">C75-C77</f>
        <v>1467140</v>
      </c>
      <c r="D78" s="62" t="s">
        <v>242</v>
      </c>
      <c r="H78" s="24" t="s">
        <v>252</v>
      </c>
    </row>
    <row r="79" customFormat="false" ht="15" hidden="false" customHeight="false" outlineLevel="0" collapsed="false">
      <c r="B79" s="5" t="s">
        <v>253</v>
      </c>
      <c r="C79" s="39" t="n">
        <f aca="false">C78/12</f>
        <v>122261.666666667</v>
      </c>
      <c r="D79" s="62" t="s">
        <v>150</v>
      </c>
      <c r="H79" s="14"/>
    </row>
    <row r="80" customFormat="false" ht="15" hidden="false" customHeight="false" outlineLevel="0" collapsed="false">
      <c r="B80" s="5" t="s">
        <v>254</v>
      </c>
      <c r="C80" s="81" t="n">
        <f aca="false">IF(C76&gt;0,C94/C76,0)</f>
        <v>30.5011336254664</v>
      </c>
      <c r="D80" s="62" t="s">
        <v>255</v>
      </c>
      <c r="H80" s="14" t="s">
        <v>256</v>
      </c>
    </row>
    <row r="81" customFormat="false" ht="15" hidden="false" customHeight="false" outlineLevel="0" collapsed="false">
      <c r="B81" s="5" t="s">
        <v>257</v>
      </c>
      <c r="C81" s="79" t="n">
        <f aca="false">C80/12</f>
        <v>2.54176113545553</v>
      </c>
      <c r="D81" s="62" t="s">
        <v>147</v>
      </c>
      <c r="H81" s="14"/>
    </row>
    <row r="82" customFormat="false" ht="15" hidden="false" customHeight="false" outlineLevel="0" collapsed="false">
      <c r="B82" s="5" t="s">
        <v>27</v>
      </c>
      <c r="C82" s="82" t="n">
        <f aca="false">IF((C71+C72)&gt;0,(C73+C74+C77)/(C71+C72),0)</f>
        <v>0.312425308957301</v>
      </c>
      <c r="D82" s="2"/>
      <c r="H82" s="14" t="s">
        <v>258</v>
      </c>
    </row>
    <row r="84" customFormat="false" ht="15" hidden="false" customHeight="false" outlineLevel="0" collapsed="false">
      <c r="B84" s="3" t="s">
        <v>259</v>
      </c>
      <c r="C84" s="4"/>
      <c r="D84" s="4"/>
      <c r="E84" s="4"/>
      <c r="F84" s="4"/>
      <c r="G84" s="4"/>
      <c r="H84" s="4"/>
    </row>
    <row r="85" customFormat="false" ht="15" hidden="false" customHeight="false" outlineLevel="0" collapsed="false">
      <c r="B85" s="5" t="s">
        <v>260</v>
      </c>
      <c r="C85" s="38" t="n">
        <v>500000</v>
      </c>
      <c r="D85" s="62" t="s">
        <v>139</v>
      </c>
      <c r="H85" s="14" t="s">
        <v>261</v>
      </c>
    </row>
    <row r="86" customFormat="false" ht="15" hidden="false" customHeight="false" outlineLevel="0" collapsed="false">
      <c r="B86" s="5" t="s">
        <v>262</v>
      </c>
      <c r="C86" s="65" t="n">
        <v>1</v>
      </c>
      <c r="D86" s="62" t="s">
        <v>263</v>
      </c>
      <c r="H86" s="24" t="s">
        <v>264</v>
      </c>
    </row>
    <row r="87" customFormat="false" ht="15" hidden="false" customHeight="false" outlineLevel="0" collapsed="false">
      <c r="B87" s="5" t="s">
        <v>265</v>
      </c>
      <c r="C87" s="51" t="str">
        <f aca="false">CHOOSE(C86,"機械の付随費用として資産計上（機械と同じ10年償却）","建物附属設備（電気設備）として資産計上（15年償却）","一括費用処理（導入月に修繕費で全額計上）")</f>
        <v>機械の付随費用として資産計上（機械と同じ10年償却）</v>
      </c>
      <c r="D87" s="2"/>
      <c r="H87" s="14"/>
    </row>
    <row r="88" customFormat="false" ht="15" hidden="false" customHeight="false" outlineLevel="0" collapsed="false">
      <c r="B88" s="5" t="s">
        <v>266</v>
      </c>
      <c r="C88" s="65" t="n">
        <v>15</v>
      </c>
      <c r="D88" s="62" t="s">
        <v>147</v>
      </c>
      <c r="H88" s="14" t="s">
        <v>267</v>
      </c>
    </row>
    <row r="89" customFormat="false" ht="15" hidden="false" customHeight="false" outlineLevel="0" collapsed="false">
      <c r="B89" s="5" t="s">
        <v>268</v>
      </c>
      <c r="C89" s="74" t="n">
        <f aca="false">CHOOSE(C86,C9,C88,0)</f>
        <v>10</v>
      </c>
      <c r="D89" s="62" t="s">
        <v>147</v>
      </c>
      <c r="H89" s="14"/>
    </row>
    <row r="90" customFormat="false" ht="15" hidden="false" customHeight="false" outlineLevel="0" collapsed="false">
      <c r="B90" s="5" t="s">
        <v>269</v>
      </c>
      <c r="C90" s="39" t="n">
        <f aca="false">IF(C89&gt;0,C85/(C89*12),0)</f>
        <v>4166.66666666667</v>
      </c>
      <c r="D90" s="62" t="s">
        <v>150</v>
      </c>
      <c r="H90" s="14"/>
    </row>
    <row r="91" customFormat="false" ht="15" hidden="false" customHeight="false" outlineLevel="0" collapsed="false">
      <c r="B91" s="5" t="s">
        <v>270</v>
      </c>
      <c r="C91" s="39" t="n">
        <f aca="false">IF(C86=3,C85,0)</f>
        <v>0</v>
      </c>
      <c r="D91" s="62" t="s">
        <v>139</v>
      </c>
      <c r="H91" s="14" t="s">
        <v>271</v>
      </c>
    </row>
    <row r="92" customFormat="false" ht="15" hidden="false" customHeight="false" outlineLevel="0" collapsed="false">
      <c r="B92" s="69" t="s">
        <v>272</v>
      </c>
      <c r="C92" s="51" t="str">
        <f aca="false">CHOOSE(C86,"一般管理費＞減価償却費（月割）","一般管理費＞減価償却費（月割）","一般管理費＞修繕費（導入月に一括）")</f>
        <v>一般管理費＞減価償却費（月割）</v>
      </c>
      <c r="D92" s="2"/>
      <c r="H92" s="14"/>
    </row>
    <row r="93" customFormat="false" ht="15" hidden="false" customHeight="false" outlineLevel="0" collapsed="false">
      <c r="B93" s="5" t="s">
        <v>273</v>
      </c>
      <c r="C93" s="83" t="s">
        <v>274</v>
      </c>
      <c r="D93" s="2"/>
      <c r="H93" s="14" t="s">
        <v>275</v>
      </c>
    </row>
    <row r="94" customFormat="false" ht="15" hidden="false" customHeight="false" outlineLevel="0" collapsed="false">
      <c r="B94" s="5" t="s">
        <v>13</v>
      </c>
      <c r="C94" s="80" t="n">
        <f aca="false">C8+C85</f>
        <v>5000000</v>
      </c>
      <c r="D94" s="62" t="s">
        <v>139</v>
      </c>
      <c r="H94" s="14" t="s">
        <v>276</v>
      </c>
    </row>
  </sheetData>
  <dataValidations count="1">
    <dataValidation allowBlank="false" errorStyle="stop" operator="between" showDropDown="false" showErrorMessage="false" showInputMessage="false" sqref="C8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7" min="15" style="0" width="13"/>
    <col collapsed="false" customWidth="true" hidden="false" outlineLevel="0" max="19" min="18" style="0" width="12"/>
  </cols>
  <sheetData>
    <row r="1" customFormat="false" ht="19.4" hidden="false" customHeight="false" outlineLevel="0" collapsed="false">
      <c r="A1" s="64" t="s">
        <v>277</v>
      </c>
    </row>
    <row r="2" customFormat="false" ht="15" hidden="false" customHeight="false" outlineLevel="0" collapsed="false">
      <c r="A2" s="14" t="s">
        <v>278</v>
      </c>
    </row>
    <row r="4" customFormat="false" ht="15" hidden="false" customHeight="false" outlineLevel="0" collapsed="false">
      <c r="B4" s="12" t="s">
        <v>279</v>
      </c>
      <c r="D4" s="84" t="n">
        <f aca="false">IF(MAX(K8:K127)&gt;=前提条件!$C$94,COUNTIF(K8:K127,"&lt;"&amp;前提条件!$C$94)+1,"回収不可")</f>
        <v>31</v>
      </c>
      <c r="F4" s="12" t="s">
        <v>22</v>
      </c>
      <c r="G4" s="85" t="n">
        <f aca="false">IF(ISNUMBER(D4),EDATE(前提条件!$C$11,D4-1),"-")</f>
        <v>47331</v>
      </c>
      <c r="I4" s="18" t="s">
        <v>280</v>
      </c>
      <c r="K4" s="86" t="str">
        <f aca="false">IF(ISNUMBER(D4),IF(D4&lt;=前提条件!$C$12*12,"◎ 5年以内に回収","× 5年超"),"× 回収不可")</f>
        <v>◎ 5年以内に回収</v>
      </c>
      <c r="M4" s="18" t="s">
        <v>281</v>
      </c>
      <c r="O4" s="87" t="n">
        <f aca="false">K67</f>
        <v>9841336</v>
      </c>
    </row>
    <row r="7" customFormat="false" ht="30" hidden="false" customHeight="true" outlineLevel="0" collapsed="false">
      <c r="A7" s="26" t="s">
        <v>282</v>
      </c>
      <c r="B7" s="27" t="s">
        <v>283</v>
      </c>
      <c r="C7" s="27" t="s">
        <v>284</v>
      </c>
      <c r="D7" s="27" t="s">
        <v>285</v>
      </c>
      <c r="E7" s="27" t="s">
        <v>286</v>
      </c>
      <c r="F7" s="27" t="s">
        <v>287</v>
      </c>
      <c r="G7" s="27" t="s">
        <v>288</v>
      </c>
      <c r="H7" s="27" t="s">
        <v>289</v>
      </c>
      <c r="I7" s="27" t="s">
        <v>290</v>
      </c>
      <c r="J7" s="27" t="s">
        <v>291</v>
      </c>
      <c r="K7" s="27" t="s">
        <v>292</v>
      </c>
      <c r="L7" s="27" t="s">
        <v>293</v>
      </c>
      <c r="M7" s="27" t="s">
        <v>294</v>
      </c>
      <c r="N7" s="27" t="s">
        <v>295</v>
      </c>
      <c r="O7" s="27" t="s">
        <v>296</v>
      </c>
      <c r="P7" s="27" t="s">
        <v>297</v>
      </c>
      <c r="Q7" s="27" t="s">
        <v>298</v>
      </c>
      <c r="R7" s="27" t="s">
        <v>299</v>
      </c>
      <c r="S7" s="27" t="s">
        <v>300</v>
      </c>
    </row>
    <row r="8" customFormat="false" ht="15" hidden="false" customHeight="false" outlineLevel="0" collapsed="false">
      <c r="A8" s="88" t="n">
        <v>1</v>
      </c>
      <c r="B8" s="89" t="n">
        <f aca="false">EDATE(前提条件!$C$11,A8-1)</f>
        <v>46419</v>
      </c>
      <c r="C8" s="90" t="n">
        <f aca="false">YEAR(B8)+IF(MONTH(B8)&gt;=7,1,0)-2027+48</f>
        <v>48</v>
      </c>
      <c r="D8" s="91" t="n">
        <f aca="false">前提条件!$C$26/365*DAY(EOMONTH(B8,0))</f>
        <v>28</v>
      </c>
      <c r="E8" s="92" t="n">
        <v>1</v>
      </c>
      <c r="F8" s="34" t="n">
        <f aca="false">前提条件!$C$64*D8*E8</f>
        <v>161000</v>
      </c>
      <c r="G8" s="34" t="n">
        <f aca="false">前提条件!$C$65*D8*E8</f>
        <v>2688</v>
      </c>
      <c r="H8" s="34" t="n">
        <f aca="false">(前提条件!$C$66+前提条件!$C$67)*D8</f>
        <v>5880</v>
      </c>
      <c r="I8" s="34" t="n">
        <f aca="false">前提条件!$C$74/12</f>
        <v>7500</v>
      </c>
      <c r="J8" s="93" t="n">
        <f aca="false">F8+G8-H8-I8</f>
        <v>150308</v>
      </c>
      <c r="K8" s="93" t="n">
        <f aca="false">J8</f>
        <v>150308</v>
      </c>
      <c r="L8" s="93" t="n">
        <f aca="false">MAX(前提条件!$C$94-K8,0)</f>
        <v>4849692</v>
      </c>
      <c r="M8" s="34" t="n">
        <f aca="false">前提条件!$C$10</f>
        <v>37500</v>
      </c>
      <c r="N8" s="93" t="n">
        <f aca="false">J8-M8-R8-S8</f>
        <v>108641.333333333</v>
      </c>
      <c r="O8" s="93" t="n">
        <f aca="false">N8</f>
        <v>108641.333333333</v>
      </c>
      <c r="P8" s="93" t="n">
        <f aca="false">前提条件!$C$8-SUM(M$8:M8)+IF(前提条件!$C$86&lt;3,前提条件!$C$85-SUM(R$8:R8),0)</f>
        <v>4958333.33333333</v>
      </c>
      <c r="Q8" s="94" t="str">
        <f aca="false">IF(AND(K8&gt;=前提条件!$C$94,0&lt;前提条件!$C$94),"◀投資回収","")</f>
        <v/>
      </c>
      <c r="R8" s="34" t="n">
        <f aca="false">IF(A8&lt;=前提条件!$C$89*12,前提条件!$C$90,0)</f>
        <v>4166.66666666667</v>
      </c>
      <c r="S8" s="34" t="n">
        <f aca="false">IF(A8=1,前提条件!$C$91,0)</f>
        <v>0</v>
      </c>
    </row>
    <row r="9" customFormat="false" ht="15" hidden="false" customHeight="false" outlineLevel="0" collapsed="false">
      <c r="A9" s="88" t="n">
        <v>2</v>
      </c>
      <c r="B9" s="89" t="n">
        <f aca="false">EDATE(前提条件!$C$11,A9-1)</f>
        <v>46447</v>
      </c>
      <c r="C9" s="90" t="n">
        <f aca="false">YEAR(B9)+IF(MONTH(B9)&gt;=7,1,0)-2027+48</f>
        <v>48</v>
      </c>
      <c r="D9" s="91" t="n">
        <f aca="false">前提条件!$C$26/365*DAY(EOMONTH(B9,0))</f>
        <v>31</v>
      </c>
      <c r="E9" s="92" t="n">
        <v>1</v>
      </c>
      <c r="F9" s="34" t="n">
        <f aca="false">前提条件!$C$64*D9*E9</f>
        <v>178250</v>
      </c>
      <c r="G9" s="34" t="n">
        <f aca="false">前提条件!$C$65*D9*E9</f>
        <v>2976</v>
      </c>
      <c r="H9" s="34" t="n">
        <f aca="false">(前提条件!$C$66+前提条件!$C$67)*D9</f>
        <v>6510</v>
      </c>
      <c r="I9" s="34" t="n">
        <f aca="false">前提条件!$C$74/12</f>
        <v>7500</v>
      </c>
      <c r="J9" s="93" t="n">
        <f aca="false">F9+G9-H9-I9</f>
        <v>167216</v>
      </c>
      <c r="K9" s="93" t="n">
        <f aca="false">K8+J9</f>
        <v>317524</v>
      </c>
      <c r="L9" s="93" t="n">
        <f aca="false">MAX(前提条件!$C$94-K9,0)</f>
        <v>4682476</v>
      </c>
      <c r="M9" s="34" t="n">
        <f aca="false">前提条件!$C$10</f>
        <v>37500</v>
      </c>
      <c r="N9" s="93" t="n">
        <f aca="false">J9-M9-R9-S9</f>
        <v>125549.333333333</v>
      </c>
      <c r="O9" s="93" t="n">
        <f aca="false">O8+N9</f>
        <v>234190.666666667</v>
      </c>
      <c r="P9" s="93" t="n">
        <f aca="false">前提条件!$C$8-SUM(M$8:M9)+IF(前提条件!$C$86&lt;3,前提条件!$C$85-SUM(R$8:R9),0)</f>
        <v>4916666.66666667</v>
      </c>
      <c r="Q9" s="94" t="str">
        <f aca="false">IF(AND(K9&gt;=前提条件!$C$94,K8&lt;前提条件!$C$94),"◀投資回収","")</f>
        <v/>
      </c>
      <c r="R9" s="34" t="n">
        <f aca="false">IF(A9&lt;=前提条件!$C$89*12,前提条件!$C$90,0)</f>
        <v>4166.66666666667</v>
      </c>
      <c r="S9" s="34" t="n">
        <f aca="false">IF(A9=1,前提条件!$C$91,0)</f>
        <v>0</v>
      </c>
    </row>
    <row r="10" customFormat="false" ht="15" hidden="false" customHeight="false" outlineLevel="0" collapsed="false">
      <c r="A10" s="88" t="n">
        <v>3</v>
      </c>
      <c r="B10" s="89" t="n">
        <f aca="false">EDATE(前提条件!$C$11,A10-1)</f>
        <v>46478</v>
      </c>
      <c r="C10" s="90" t="n">
        <f aca="false">YEAR(B10)+IF(MONTH(B10)&gt;=7,1,0)-2027+48</f>
        <v>48</v>
      </c>
      <c r="D10" s="91" t="n">
        <f aca="false">前提条件!$C$26/365*DAY(EOMONTH(B10,0))</f>
        <v>30</v>
      </c>
      <c r="E10" s="92" t="n">
        <v>1</v>
      </c>
      <c r="F10" s="34" t="n">
        <f aca="false">前提条件!$C$64*D10*E10</f>
        <v>172500</v>
      </c>
      <c r="G10" s="34" t="n">
        <f aca="false">前提条件!$C$65*D10*E10</f>
        <v>2880</v>
      </c>
      <c r="H10" s="34" t="n">
        <f aca="false">(前提条件!$C$66+前提条件!$C$67)*D10</f>
        <v>6300</v>
      </c>
      <c r="I10" s="34" t="n">
        <f aca="false">前提条件!$C$74/12</f>
        <v>7500</v>
      </c>
      <c r="J10" s="93" t="n">
        <f aca="false">F10+G10-H10-I10</f>
        <v>161580</v>
      </c>
      <c r="K10" s="93" t="n">
        <f aca="false">K9+J10</f>
        <v>479104</v>
      </c>
      <c r="L10" s="93" t="n">
        <f aca="false">MAX(前提条件!$C$94-K10,0)</f>
        <v>4520896</v>
      </c>
      <c r="M10" s="34" t="n">
        <f aca="false">前提条件!$C$10</f>
        <v>37500</v>
      </c>
      <c r="N10" s="93" t="n">
        <f aca="false">J10-M10-R10-S10</f>
        <v>119913.333333333</v>
      </c>
      <c r="O10" s="93" t="n">
        <f aca="false">O9+N10</f>
        <v>354104</v>
      </c>
      <c r="P10" s="93" t="n">
        <f aca="false">前提条件!$C$8-SUM(M$8:M10)+IF(前提条件!$C$86&lt;3,前提条件!$C$85-SUM(R$8:R10),0)</f>
        <v>4875000</v>
      </c>
      <c r="Q10" s="94" t="str">
        <f aca="false">IF(AND(K10&gt;=前提条件!$C$94,K9&lt;前提条件!$C$94),"◀投資回収","")</f>
        <v/>
      </c>
      <c r="R10" s="34" t="n">
        <f aca="false">IF(A10&lt;=前提条件!$C$89*12,前提条件!$C$90,0)</f>
        <v>4166.66666666667</v>
      </c>
      <c r="S10" s="34" t="n">
        <f aca="false">IF(A10=1,前提条件!$C$91,0)</f>
        <v>0</v>
      </c>
    </row>
    <row r="11" customFormat="false" ht="15" hidden="false" customHeight="false" outlineLevel="0" collapsed="false">
      <c r="A11" s="88" t="n">
        <v>4</v>
      </c>
      <c r="B11" s="89" t="n">
        <f aca="false">EDATE(前提条件!$C$11,A11-1)</f>
        <v>46508</v>
      </c>
      <c r="C11" s="90" t="n">
        <f aca="false">YEAR(B11)+IF(MONTH(B11)&gt;=7,1,0)-2027+48</f>
        <v>48</v>
      </c>
      <c r="D11" s="91" t="n">
        <f aca="false">前提条件!$C$26/365*DAY(EOMONTH(B11,0))</f>
        <v>31</v>
      </c>
      <c r="E11" s="92" t="n">
        <v>1</v>
      </c>
      <c r="F11" s="34" t="n">
        <f aca="false">前提条件!$C$64*D11*E11</f>
        <v>178250</v>
      </c>
      <c r="G11" s="34" t="n">
        <f aca="false">前提条件!$C$65*D11*E11</f>
        <v>2976</v>
      </c>
      <c r="H11" s="34" t="n">
        <f aca="false">(前提条件!$C$66+前提条件!$C$67)*D11</f>
        <v>6510</v>
      </c>
      <c r="I11" s="34" t="n">
        <f aca="false">前提条件!$C$74/12</f>
        <v>7500</v>
      </c>
      <c r="J11" s="93" t="n">
        <f aca="false">F11+G11-H11-I11</f>
        <v>167216</v>
      </c>
      <c r="K11" s="93" t="n">
        <f aca="false">K10+J11</f>
        <v>646320</v>
      </c>
      <c r="L11" s="93" t="n">
        <f aca="false">MAX(前提条件!$C$94-K11,0)</f>
        <v>4353680</v>
      </c>
      <c r="M11" s="34" t="n">
        <f aca="false">前提条件!$C$10</f>
        <v>37500</v>
      </c>
      <c r="N11" s="93" t="n">
        <f aca="false">J11-M11-R11-S11</f>
        <v>125549.333333333</v>
      </c>
      <c r="O11" s="93" t="n">
        <f aca="false">O10+N11</f>
        <v>479653.333333333</v>
      </c>
      <c r="P11" s="93" t="n">
        <f aca="false">前提条件!$C$8-SUM(M$8:M11)+IF(前提条件!$C$86&lt;3,前提条件!$C$85-SUM(R$8:R11),0)</f>
        <v>4833333.33333333</v>
      </c>
      <c r="Q11" s="94" t="str">
        <f aca="false">IF(AND(K11&gt;=前提条件!$C$94,K10&lt;前提条件!$C$94),"◀投資回収","")</f>
        <v/>
      </c>
      <c r="R11" s="34" t="n">
        <f aca="false">IF(A11&lt;=前提条件!$C$89*12,前提条件!$C$90,0)</f>
        <v>4166.66666666667</v>
      </c>
      <c r="S11" s="34" t="n">
        <f aca="false">IF(A11=1,前提条件!$C$91,0)</f>
        <v>0</v>
      </c>
    </row>
    <row r="12" customFormat="false" ht="15" hidden="false" customHeight="false" outlineLevel="0" collapsed="false">
      <c r="A12" s="88" t="n">
        <v>5</v>
      </c>
      <c r="B12" s="89" t="n">
        <f aca="false">EDATE(前提条件!$C$11,A12-1)</f>
        <v>46539</v>
      </c>
      <c r="C12" s="90" t="n">
        <f aca="false">YEAR(B12)+IF(MONTH(B12)&gt;=7,1,0)-2027+48</f>
        <v>48</v>
      </c>
      <c r="D12" s="91" t="n">
        <f aca="false">前提条件!$C$26/365*DAY(EOMONTH(B12,0))</f>
        <v>30</v>
      </c>
      <c r="E12" s="92" t="n">
        <v>1</v>
      </c>
      <c r="F12" s="34" t="n">
        <f aca="false">前提条件!$C$64*D12*E12</f>
        <v>172500</v>
      </c>
      <c r="G12" s="34" t="n">
        <f aca="false">前提条件!$C$65*D12*E12</f>
        <v>2880</v>
      </c>
      <c r="H12" s="34" t="n">
        <f aca="false">(前提条件!$C$66+前提条件!$C$67)*D12</f>
        <v>6300</v>
      </c>
      <c r="I12" s="34" t="n">
        <f aca="false">前提条件!$C$74/12</f>
        <v>7500</v>
      </c>
      <c r="J12" s="93" t="n">
        <f aca="false">F12+G12-H12-I12</f>
        <v>161580</v>
      </c>
      <c r="K12" s="93" t="n">
        <f aca="false">K11+J12</f>
        <v>807900</v>
      </c>
      <c r="L12" s="93" t="n">
        <f aca="false">MAX(前提条件!$C$94-K12,0)</f>
        <v>4192100</v>
      </c>
      <c r="M12" s="34" t="n">
        <f aca="false">前提条件!$C$10</f>
        <v>37500</v>
      </c>
      <c r="N12" s="93" t="n">
        <f aca="false">J12-M12-R12-S12</f>
        <v>119913.333333333</v>
      </c>
      <c r="O12" s="93" t="n">
        <f aca="false">O11+N12</f>
        <v>599566.666666667</v>
      </c>
      <c r="P12" s="93" t="n">
        <f aca="false">前提条件!$C$8-SUM(M$8:M12)+IF(前提条件!$C$86&lt;3,前提条件!$C$85-SUM(R$8:R12),0)</f>
        <v>4791666.66666667</v>
      </c>
      <c r="Q12" s="94" t="str">
        <f aca="false">IF(AND(K12&gt;=前提条件!$C$94,K11&lt;前提条件!$C$94),"◀投資回収","")</f>
        <v/>
      </c>
      <c r="R12" s="34" t="n">
        <f aca="false">IF(A12&lt;=前提条件!$C$89*12,前提条件!$C$90,0)</f>
        <v>4166.66666666667</v>
      </c>
      <c r="S12" s="34" t="n">
        <f aca="false">IF(A12=1,前提条件!$C$91,0)</f>
        <v>0</v>
      </c>
    </row>
    <row r="13" customFormat="false" ht="15" hidden="false" customHeight="false" outlineLevel="0" collapsed="false">
      <c r="A13" s="88" t="n">
        <v>6</v>
      </c>
      <c r="B13" s="89" t="n">
        <f aca="false">EDATE(前提条件!$C$11,A13-1)</f>
        <v>46569</v>
      </c>
      <c r="C13" s="90" t="n">
        <f aca="false">YEAR(B13)+IF(MONTH(B13)&gt;=7,1,0)-2027+48</f>
        <v>49</v>
      </c>
      <c r="D13" s="91" t="n">
        <f aca="false">前提条件!$C$26/365*DAY(EOMONTH(B13,0))</f>
        <v>31</v>
      </c>
      <c r="E13" s="92" t="n">
        <v>1</v>
      </c>
      <c r="F13" s="34" t="n">
        <f aca="false">前提条件!$C$64*D13*E13</f>
        <v>178250</v>
      </c>
      <c r="G13" s="34" t="n">
        <f aca="false">前提条件!$C$65*D13*E13</f>
        <v>2976</v>
      </c>
      <c r="H13" s="34" t="n">
        <f aca="false">(前提条件!$C$66+前提条件!$C$67)*D13</f>
        <v>6510</v>
      </c>
      <c r="I13" s="34" t="n">
        <f aca="false">前提条件!$C$74/12</f>
        <v>7500</v>
      </c>
      <c r="J13" s="93" t="n">
        <f aca="false">F13+G13-H13-I13</f>
        <v>167216</v>
      </c>
      <c r="K13" s="93" t="n">
        <f aca="false">K12+J13</f>
        <v>975116</v>
      </c>
      <c r="L13" s="93" t="n">
        <f aca="false">MAX(前提条件!$C$94-K13,0)</f>
        <v>4024884</v>
      </c>
      <c r="M13" s="34" t="n">
        <f aca="false">前提条件!$C$10</f>
        <v>37500</v>
      </c>
      <c r="N13" s="93" t="n">
        <f aca="false">J13-M13-R13-S13</f>
        <v>125549.333333333</v>
      </c>
      <c r="O13" s="93" t="n">
        <f aca="false">O12+N13</f>
        <v>725116</v>
      </c>
      <c r="P13" s="93" t="n">
        <f aca="false">前提条件!$C$8-SUM(M$8:M13)+IF(前提条件!$C$86&lt;3,前提条件!$C$85-SUM(R$8:R13),0)</f>
        <v>4750000</v>
      </c>
      <c r="Q13" s="94" t="str">
        <f aca="false">IF(AND(K13&gt;=前提条件!$C$94,K12&lt;前提条件!$C$94),"◀投資回収","")</f>
        <v/>
      </c>
      <c r="R13" s="34" t="n">
        <f aca="false">IF(A13&lt;=前提条件!$C$89*12,前提条件!$C$90,0)</f>
        <v>4166.66666666667</v>
      </c>
      <c r="S13" s="34" t="n">
        <f aca="false">IF(A13=1,前提条件!$C$91,0)</f>
        <v>0</v>
      </c>
    </row>
    <row r="14" customFormat="false" ht="15" hidden="false" customHeight="false" outlineLevel="0" collapsed="false">
      <c r="A14" s="88" t="n">
        <v>7</v>
      </c>
      <c r="B14" s="89" t="n">
        <f aca="false">EDATE(前提条件!$C$11,A14-1)</f>
        <v>46600</v>
      </c>
      <c r="C14" s="90" t="n">
        <f aca="false">YEAR(B14)+IF(MONTH(B14)&gt;=7,1,0)-2027+48</f>
        <v>49</v>
      </c>
      <c r="D14" s="91" t="n">
        <f aca="false">前提条件!$C$26/365*DAY(EOMONTH(B14,0))</f>
        <v>31</v>
      </c>
      <c r="E14" s="92" t="n">
        <v>1</v>
      </c>
      <c r="F14" s="34" t="n">
        <f aca="false">前提条件!$C$64*D14*E14</f>
        <v>178250</v>
      </c>
      <c r="G14" s="34" t="n">
        <f aca="false">前提条件!$C$65*D14*E14</f>
        <v>2976</v>
      </c>
      <c r="H14" s="34" t="n">
        <f aca="false">(前提条件!$C$66+前提条件!$C$67)*D14</f>
        <v>6510</v>
      </c>
      <c r="I14" s="34" t="n">
        <f aca="false">前提条件!$C$74/12</f>
        <v>7500</v>
      </c>
      <c r="J14" s="93" t="n">
        <f aca="false">F14+G14-H14-I14</f>
        <v>167216</v>
      </c>
      <c r="K14" s="93" t="n">
        <f aca="false">K13+J14</f>
        <v>1142332</v>
      </c>
      <c r="L14" s="93" t="n">
        <f aca="false">MAX(前提条件!$C$94-K14,0)</f>
        <v>3857668</v>
      </c>
      <c r="M14" s="34" t="n">
        <f aca="false">前提条件!$C$10</f>
        <v>37500</v>
      </c>
      <c r="N14" s="93" t="n">
        <f aca="false">J14-M14-R14-S14</f>
        <v>125549.333333333</v>
      </c>
      <c r="O14" s="93" t="n">
        <f aca="false">O13+N14</f>
        <v>850665.333333333</v>
      </c>
      <c r="P14" s="93" t="n">
        <f aca="false">前提条件!$C$8-SUM(M$8:M14)+IF(前提条件!$C$86&lt;3,前提条件!$C$85-SUM(R$8:R14),0)</f>
        <v>4708333.33333333</v>
      </c>
      <c r="Q14" s="94" t="str">
        <f aca="false">IF(AND(K14&gt;=前提条件!$C$94,K13&lt;前提条件!$C$94),"◀投資回収","")</f>
        <v/>
      </c>
      <c r="R14" s="34" t="n">
        <f aca="false">IF(A14&lt;=前提条件!$C$89*12,前提条件!$C$90,0)</f>
        <v>4166.66666666667</v>
      </c>
      <c r="S14" s="34" t="n">
        <f aca="false">IF(A14=1,前提条件!$C$91,0)</f>
        <v>0</v>
      </c>
    </row>
    <row r="15" customFormat="false" ht="15" hidden="false" customHeight="false" outlineLevel="0" collapsed="false">
      <c r="A15" s="88" t="n">
        <v>8</v>
      </c>
      <c r="B15" s="89" t="n">
        <f aca="false">EDATE(前提条件!$C$11,A15-1)</f>
        <v>46631</v>
      </c>
      <c r="C15" s="90" t="n">
        <f aca="false">YEAR(B15)+IF(MONTH(B15)&gt;=7,1,0)-2027+48</f>
        <v>49</v>
      </c>
      <c r="D15" s="91" t="n">
        <f aca="false">前提条件!$C$26/365*DAY(EOMONTH(B15,0))</f>
        <v>30</v>
      </c>
      <c r="E15" s="92" t="n">
        <v>1</v>
      </c>
      <c r="F15" s="34" t="n">
        <f aca="false">前提条件!$C$64*D15*E15</f>
        <v>172500</v>
      </c>
      <c r="G15" s="34" t="n">
        <f aca="false">前提条件!$C$65*D15*E15</f>
        <v>2880</v>
      </c>
      <c r="H15" s="34" t="n">
        <f aca="false">(前提条件!$C$66+前提条件!$C$67)*D15</f>
        <v>6300</v>
      </c>
      <c r="I15" s="34" t="n">
        <f aca="false">前提条件!$C$74/12</f>
        <v>7500</v>
      </c>
      <c r="J15" s="93" t="n">
        <f aca="false">F15+G15-H15-I15</f>
        <v>161580</v>
      </c>
      <c r="K15" s="93" t="n">
        <f aca="false">K14+J15</f>
        <v>1303912</v>
      </c>
      <c r="L15" s="93" t="n">
        <f aca="false">MAX(前提条件!$C$94-K15,0)</f>
        <v>3696088</v>
      </c>
      <c r="M15" s="34" t="n">
        <f aca="false">前提条件!$C$10</f>
        <v>37500</v>
      </c>
      <c r="N15" s="93" t="n">
        <f aca="false">J15-M15-R15-S15</f>
        <v>119913.333333333</v>
      </c>
      <c r="O15" s="93" t="n">
        <f aca="false">O14+N15</f>
        <v>970578.666666667</v>
      </c>
      <c r="P15" s="93" t="n">
        <f aca="false">前提条件!$C$8-SUM(M$8:M15)+IF(前提条件!$C$86&lt;3,前提条件!$C$85-SUM(R$8:R15),0)</f>
        <v>4666666.66666667</v>
      </c>
      <c r="Q15" s="94" t="str">
        <f aca="false">IF(AND(K15&gt;=前提条件!$C$94,K14&lt;前提条件!$C$94),"◀投資回収","")</f>
        <v/>
      </c>
      <c r="R15" s="34" t="n">
        <f aca="false">IF(A15&lt;=前提条件!$C$89*12,前提条件!$C$90,0)</f>
        <v>4166.66666666667</v>
      </c>
      <c r="S15" s="34" t="n">
        <f aca="false">IF(A15=1,前提条件!$C$91,0)</f>
        <v>0</v>
      </c>
    </row>
    <row r="16" customFormat="false" ht="15" hidden="false" customHeight="false" outlineLevel="0" collapsed="false">
      <c r="A16" s="88" t="n">
        <v>9</v>
      </c>
      <c r="B16" s="89" t="n">
        <f aca="false">EDATE(前提条件!$C$11,A16-1)</f>
        <v>46661</v>
      </c>
      <c r="C16" s="90" t="n">
        <f aca="false">YEAR(B16)+IF(MONTH(B16)&gt;=7,1,0)-2027+48</f>
        <v>49</v>
      </c>
      <c r="D16" s="91" t="n">
        <f aca="false">前提条件!$C$26/365*DAY(EOMONTH(B16,0))</f>
        <v>31</v>
      </c>
      <c r="E16" s="92" t="n">
        <v>1</v>
      </c>
      <c r="F16" s="34" t="n">
        <f aca="false">前提条件!$C$64*D16*E16</f>
        <v>178250</v>
      </c>
      <c r="G16" s="34" t="n">
        <f aca="false">前提条件!$C$65*D16*E16</f>
        <v>2976</v>
      </c>
      <c r="H16" s="34" t="n">
        <f aca="false">(前提条件!$C$66+前提条件!$C$67)*D16</f>
        <v>6510</v>
      </c>
      <c r="I16" s="34" t="n">
        <f aca="false">前提条件!$C$74/12</f>
        <v>7500</v>
      </c>
      <c r="J16" s="93" t="n">
        <f aca="false">F16+G16-H16-I16</f>
        <v>167216</v>
      </c>
      <c r="K16" s="93" t="n">
        <f aca="false">K15+J16</f>
        <v>1471128</v>
      </c>
      <c r="L16" s="93" t="n">
        <f aca="false">MAX(前提条件!$C$94-K16,0)</f>
        <v>3528872</v>
      </c>
      <c r="M16" s="34" t="n">
        <f aca="false">前提条件!$C$10</f>
        <v>37500</v>
      </c>
      <c r="N16" s="93" t="n">
        <f aca="false">J16-M16-R16-S16</f>
        <v>125549.333333333</v>
      </c>
      <c r="O16" s="93" t="n">
        <f aca="false">O15+N16</f>
        <v>1096128</v>
      </c>
      <c r="P16" s="93" t="n">
        <f aca="false">前提条件!$C$8-SUM(M$8:M16)+IF(前提条件!$C$86&lt;3,前提条件!$C$85-SUM(R$8:R16),0)</f>
        <v>4625000</v>
      </c>
      <c r="Q16" s="94" t="str">
        <f aca="false">IF(AND(K16&gt;=前提条件!$C$94,K15&lt;前提条件!$C$94),"◀投資回収","")</f>
        <v/>
      </c>
      <c r="R16" s="34" t="n">
        <f aca="false">IF(A16&lt;=前提条件!$C$89*12,前提条件!$C$90,0)</f>
        <v>4166.66666666667</v>
      </c>
      <c r="S16" s="34" t="n">
        <f aca="false">IF(A16=1,前提条件!$C$91,0)</f>
        <v>0</v>
      </c>
    </row>
    <row r="17" customFormat="false" ht="15" hidden="false" customHeight="false" outlineLevel="0" collapsed="false">
      <c r="A17" s="88" t="n">
        <v>10</v>
      </c>
      <c r="B17" s="89" t="n">
        <f aca="false">EDATE(前提条件!$C$11,A17-1)</f>
        <v>46692</v>
      </c>
      <c r="C17" s="90" t="n">
        <f aca="false">YEAR(B17)+IF(MONTH(B17)&gt;=7,1,0)-2027+48</f>
        <v>49</v>
      </c>
      <c r="D17" s="91" t="n">
        <f aca="false">前提条件!$C$26/365*DAY(EOMONTH(B17,0))</f>
        <v>30</v>
      </c>
      <c r="E17" s="92" t="n">
        <v>1</v>
      </c>
      <c r="F17" s="34" t="n">
        <f aca="false">前提条件!$C$64*D17*E17</f>
        <v>172500</v>
      </c>
      <c r="G17" s="34" t="n">
        <f aca="false">前提条件!$C$65*D17*E17</f>
        <v>2880</v>
      </c>
      <c r="H17" s="34" t="n">
        <f aca="false">(前提条件!$C$66+前提条件!$C$67)*D17</f>
        <v>6300</v>
      </c>
      <c r="I17" s="34" t="n">
        <f aca="false">前提条件!$C$74/12</f>
        <v>7500</v>
      </c>
      <c r="J17" s="93" t="n">
        <f aca="false">F17+G17-H17-I17</f>
        <v>161580</v>
      </c>
      <c r="K17" s="93" t="n">
        <f aca="false">K16+J17</f>
        <v>1632708</v>
      </c>
      <c r="L17" s="93" t="n">
        <f aca="false">MAX(前提条件!$C$94-K17,0)</f>
        <v>3367292</v>
      </c>
      <c r="M17" s="34" t="n">
        <f aca="false">前提条件!$C$10</f>
        <v>37500</v>
      </c>
      <c r="N17" s="93" t="n">
        <f aca="false">J17-M17-R17-S17</f>
        <v>119913.333333333</v>
      </c>
      <c r="O17" s="93" t="n">
        <f aca="false">O16+N17</f>
        <v>1216041.33333333</v>
      </c>
      <c r="P17" s="93" t="n">
        <f aca="false">前提条件!$C$8-SUM(M$8:M17)+IF(前提条件!$C$86&lt;3,前提条件!$C$85-SUM(R$8:R17),0)</f>
        <v>4583333.33333333</v>
      </c>
      <c r="Q17" s="94" t="str">
        <f aca="false">IF(AND(K17&gt;=前提条件!$C$94,K16&lt;前提条件!$C$94),"◀投資回収","")</f>
        <v/>
      </c>
      <c r="R17" s="34" t="n">
        <f aca="false">IF(A17&lt;=前提条件!$C$89*12,前提条件!$C$90,0)</f>
        <v>4166.66666666667</v>
      </c>
      <c r="S17" s="34" t="n">
        <f aca="false">IF(A17=1,前提条件!$C$91,0)</f>
        <v>0</v>
      </c>
    </row>
    <row r="18" customFormat="false" ht="15" hidden="false" customHeight="false" outlineLevel="0" collapsed="false">
      <c r="A18" s="88" t="n">
        <v>11</v>
      </c>
      <c r="B18" s="89" t="n">
        <f aca="false">EDATE(前提条件!$C$11,A18-1)</f>
        <v>46722</v>
      </c>
      <c r="C18" s="90" t="n">
        <f aca="false">YEAR(B18)+IF(MONTH(B18)&gt;=7,1,0)-2027+48</f>
        <v>49</v>
      </c>
      <c r="D18" s="91" t="n">
        <f aca="false">前提条件!$C$26/365*DAY(EOMONTH(B18,0))</f>
        <v>31</v>
      </c>
      <c r="E18" s="92" t="n">
        <v>1</v>
      </c>
      <c r="F18" s="34" t="n">
        <f aca="false">前提条件!$C$64*D18*E18</f>
        <v>178250</v>
      </c>
      <c r="G18" s="34" t="n">
        <f aca="false">前提条件!$C$65*D18*E18</f>
        <v>2976</v>
      </c>
      <c r="H18" s="34" t="n">
        <f aca="false">(前提条件!$C$66+前提条件!$C$67)*D18</f>
        <v>6510</v>
      </c>
      <c r="I18" s="34" t="n">
        <f aca="false">前提条件!$C$74/12</f>
        <v>7500</v>
      </c>
      <c r="J18" s="93" t="n">
        <f aca="false">F18+G18-H18-I18</f>
        <v>167216</v>
      </c>
      <c r="K18" s="93" t="n">
        <f aca="false">K17+J18</f>
        <v>1799924</v>
      </c>
      <c r="L18" s="93" t="n">
        <f aca="false">MAX(前提条件!$C$94-K18,0)</f>
        <v>3200076</v>
      </c>
      <c r="M18" s="34" t="n">
        <f aca="false">前提条件!$C$10</f>
        <v>37500</v>
      </c>
      <c r="N18" s="93" t="n">
        <f aca="false">J18-M18-R18-S18</f>
        <v>125549.333333333</v>
      </c>
      <c r="O18" s="93" t="n">
        <f aca="false">O17+N18</f>
        <v>1341590.66666667</v>
      </c>
      <c r="P18" s="93" t="n">
        <f aca="false">前提条件!$C$8-SUM(M$8:M18)+IF(前提条件!$C$86&lt;3,前提条件!$C$85-SUM(R$8:R18),0)</f>
        <v>4541666.66666667</v>
      </c>
      <c r="Q18" s="94" t="str">
        <f aca="false">IF(AND(K18&gt;=前提条件!$C$94,K17&lt;前提条件!$C$94),"◀投資回収","")</f>
        <v/>
      </c>
      <c r="R18" s="34" t="n">
        <f aca="false">IF(A18&lt;=前提条件!$C$89*12,前提条件!$C$90,0)</f>
        <v>4166.66666666667</v>
      </c>
      <c r="S18" s="34" t="n">
        <f aca="false">IF(A18=1,前提条件!$C$91,0)</f>
        <v>0</v>
      </c>
    </row>
    <row r="19" customFormat="false" ht="15" hidden="false" customHeight="false" outlineLevel="0" collapsed="false">
      <c r="A19" s="88" t="n">
        <v>12</v>
      </c>
      <c r="B19" s="89" t="n">
        <f aca="false">EDATE(前提条件!$C$11,A19-1)</f>
        <v>46753</v>
      </c>
      <c r="C19" s="90" t="n">
        <f aca="false">YEAR(B19)+IF(MONTH(B19)&gt;=7,1,0)-2027+48</f>
        <v>49</v>
      </c>
      <c r="D19" s="91" t="n">
        <f aca="false">前提条件!$C$26/365*DAY(EOMONTH(B19,0))</f>
        <v>31</v>
      </c>
      <c r="E19" s="92" t="n">
        <v>1</v>
      </c>
      <c r="F19" s="34" t="n">
        <f aca="false">前提条件!$C$64*D19*E19</f>
        <v>178250</v>
      </c>
      <c r="G19" s="34" t="n">
        <f aca="false">前提条件!$C$65*D19*E19</f>
        <v>2976</v>
      </c>
      <c r="H19" s="34" t="n">
        <f aca="false">(前提条件!$C$66+前提条件!$C$67)*D19</f>
        <v>6510</v>
      </c>
      <c r="I19" s="34" t="n">
        <f aca="false">前提条件!$C$74/12</f>
        <v>7500</v>
      </c>
      <c r="J19" s="93" t="n">
        <f aca="false">F19+G19-H19-I19</f>
        <v>167216</v>
      </c>
      <c r="K19" s="93" t="n">
        <f aca="false">K18+J19</f>
        <v>1967140</v>
      </c>
      <c r="L19" s="93" t="n">
        <f aca="false">MAX(前提条件!$C$94-K19,0)</f>
        <v>3032860</v>
      </c>
      <c r="M19" s="34" t="n">
        <f aca="false">前提条件!$C$10</f>
        <v>37500</v>
      </c>
      <c r="N19" s="93" t="n">
        <f aca="false">J19-M19-R19-S19</f>
        <v>125549.333333333</v>
      </c>
      <c r="O19" s="93" t="n">
        <f aca="false">O18+N19</f>
        <v>1467140</v>
      </c>
      <c r="P19" s="93" t="n">
        <f aca="false">前提条件!$C$8-SUM(M$8:M19)+IF(前提条件!$C$86&lt;3,前提条件!$C$85-SUM(R$8:R19),0)</f>
        <v>4500000</v>
      </c>
      <c r="Q19" s="94" t="str">
        <f aca="false">IF(AND(K19&gt;=前提条件!$C$94,K18&lt;前提条件!$C$94),"◀投資回収","")</f>
        <v/>
      </c>
      <c r="R19" s="34" t="n">
        <f aca="false">IF(A19&lt;=前提条件!$C$89*12,前提条件!$C$90,0)</f>
        <v>4166.66666666667</v>
      </c>
      <c r="S19" s="34" t="n">
        <f aca="false">IF(A19=1,前提条件!$C$91,0)</f>
        <v>0</v>
      </c>
    </row>
    <row r="20" customFormat="false" ht="15" hidden="false" customHeight="false" outlineLevel="0" collapsed="false">
      <c r="A20" s="88" t="n">
        <v>13</v>
      </c>
      <c r="B20" s="89" t="n">
        <f aca="false">EDATE(前提条件!$C$11,A20-1)</f>
        <v>46784</v>
      </c>
      <c r="C20" s="90" t="n">
        <f aca="false">YEAR(B20)+IF(MONTH(B20)&gt;=7,1,0)-2027+48</f>
        <v>49</v>
      </c>
      <c r="D20" s="91" t="n">
        <f aca="false">前提条件!$C$26/365*DAY(EOMONTH(B20,0))</f>
        <v>29</v>
      </c>
      <c r="E20" s="92" t="n">
        <v>1</v>
      </c>
      <c r="F20" s="34" t="n">
        <f aca="false">前提条件!$C$64*D20*E20</f>
        <v>166750</v>
      </c>
      <c r="G20" s="34" t="n">
        <f aca="false">前提条件!$C$65*D20*E20</f>
        <v>2784</v>
      </c>
      <c r="H20" s="34" t="n">
        <f aca="false">(前提条件!$C$66+前提条件!$C$67)*D20</f>
        <v>6090</v>
      </c>
      <c r="I20" s="34" t="n">
        <f aca="false">前提条件!$C$74/12</f>
        <v>7500</v>
      </c>
      <c r="J20" s="93" t="n">
        <f aca="false">F20+G20-H20-I20</f>
        <v>155944</v>
      </c>
      <c r="K20" s="93" t="n">
        <f aca="false">K19+J20</f>
        <v>2123084</v>
      </c>
      <c r="L20" s="93" t="n">
        <f aca="false">MAX(前提条件!$C$94-K20,0)</f>
        <v>2876916</v>
      </c>
      <c r="M20" s="34" t="n">
        <f aca="false">前提条件!$C$10</f>
        <v>37500</v>
      </c>
      <c r="N20" s="93" t="n">
        <f aca="false">J20-M20-R20-S20</f>
        <v>114277.333333333</v>
      </c>
      <c r="O20" s="93" t="n">
        <f aca="false">O19+N20</f>
        <v>1581417.33333333</v>
      </c>
      <c r="P20" s="93" t="n">
        <f aca="false">前提条件!$C$8-SUM(M$8:M20)+IF(前提条件!$C$86&lt;3,前提条件!$C$85-SUM(R$8:R20),0)</f>
        <v>4458333.33333333</v>
      </c>
      <c r="Q20" s="94" t="str">
        <f aca="false">IF(AND(K20&gt;=前提条件!$C$94,K19&lt;前提条件!$C$94),"◀投資回収","")</f>
        <v/>
      </c>
      <c r="R20" s="34" t="n">
        <f aca="false">IF(A20&lt;=前提条件!$C$89*12,前提条件!$C$90,0)</f>
        <v>4166.66666666667</v>
      </c>
      <c r="S20" s="34" t="n">
        <f aca="false">IF(A20=1,前提条件!$C$91,0)</f>
        <v>0</v>
      </c>
    </row>
    <row r="21" customFormat="false" ht="15" hidden="false" customHeight="false" outlineLevel="0" collapsed="false">
      <c r="A21" s="88" t="n">
        <v>14</v>
      </c>
      <c r="B21" s="89" t="n">
        <f aca="false">EDATE(前提条件!$C$11,A21-1)</f>
        <v>46813</v>
      </c>
      <c r="C21" s="90" t="n">
        <f aca="false">YEAR(B21)+IF(MONTH(B21)&gt;=7,1,0)-2027+48</f>
        <v>49</v>
      </c>
      <c r="D21" s="91" t="n">
        <f aca="false">前提条件!$C$26/365*DAY(EOMONTH(B21,0))</f>
        <v>31</v>
      </c>
      <c r="E21" s="92" t="n">
        <v>1</v>
      </c>
      <c r="F21" s="34" t="n">
        <f aca="false">前提条件!$C$64*D21*E21</f>
        <v>178250</v>
      </c>
      <c r="G21" s="34" t="n">
        <f aca="false">前提条件!$C$65*D21*E21</f>
        <v>2976</v>
      </c>
      <c r="H21" s="34" t="n">
        <f aca="false">(前提条件!$C$66+前提条件!$C$67)*D21</f>
        <v>6510</v>
      </c>
      <c r="I21" s="34" t="n">
        <f aca="false">前提条件!$C$74/12</f>
        <v>7500</v>
      </c>
      <c r="J21" s="93" t="n">
        <f aca="false">F21+G21-H21-I21</f>
        <v>167216</v>
      </c>
      <c r="K21" s="93" t="n">
        <f aca="false">K20+J21</f>
        <v>2290300</v>
      </c>
      <c r="L21" s="93" t="n">
        <f aca="false">MAX(前提条件!$C$94-K21,0)</f>
        <v>2709700</v>
      </c>
      <c r="M21" s="34" t="n">
        <f aca="false">前提条件!$C$10</f>
        <v>37500</v>
      </c>
      <c r="N21" s="93" t="n">
        <f aca="false">J21-M21-R21-S21</f>
        <v>125549.333333333</v>
      </c>
      <c r="O21" s="93" t="n">
        <f aca="false">O20+N21</f>
        <v>1706966.66666667</v>
      </c>
      <c r="P21" s="93" t="n">
        <f aca="false">前提条件!$C$8-SUM(M$8:M21)+IF(前提条件!$C$86&lt;3,前提条件!$C$85-SUM(R$8:R21),0)</f>
        <v>4416666.66666667</v>
      </c>
      <c r="Q21" s="94" t="str">
        <f aca="false">IF(AND(K21&gt;=前提条件!$C$94,K20&lt;前提条件!$C$94),"◀投資回収","")</f>
        <v/>
      </c>
      <c r="R21" s="34" t="n">
        <f aca="false">IF(A21&lt;=前提条件!$C$89*12,前提条件!$C$90,0)</f>
        <v>4166.66666666667</v>
      </c>
      <c r="S21" s="34" t="n">
        <f aca="false">IF(A21=1,前提条件!$C$91,0)</f>
        <v>0</v>
      </c>
    </row>
    <row r="22" customFormat="false" ht="15" hidden="false" customHeight="false" outlineLevel="0" collapsed="false">
      <c r="A22" s="88" t="n">
        <v>15</v>
      </c>
      <c r="B22" s="89" t="n">
        <f aca="false">EDATE(前提条件!$C$11,A22-1)</f>
        <v>46844</v>
      </c>
      <c r="C22" s="90" t="n">
        <f aca="false">YEAR(B22)+IF(MONTH(B22)&gt;=7,1,0)-2027+48</f>
        <v>49</v>
      </c>
      <c r="D22" s="91" t="n">
        <f aca="false">前提条件!$C$26/365*DAY(EOMONTH(B22,0))</f>
        <v>30</v>
      </c>
      <c r="E22" s="92" t="n">
        <v>1</v>
      </c>
      <c r="F22" s="34" t="n">
        <f aca="false">前提条件!$C$64*D22*E22</f>
        <v>172500</v>
      </c>
      <c r="G22" s="34" t="n">
        <f aca="false">前提条件!$C$65*D22*E22</f>
        <v>2880</v>
      </c>
      <c r="H22" s="34" t="n">
        <f aca="false">(前提条件!$C$66+前提条件!$C$67)*D22</f>
        <v>6300</v>
      </c>
      <c r="I22" s="34" t="n">
        <f aca="false">前提条件!$C$74/12</f>
        <v>7500</v>
      </c>
      <c r="J22" s="93" t="n">
        <f aca="false">F22+G22-H22-I22</f>
        <v>161580</v>
      </c>
      <c r="K22" s="93" t="n">
        <f aca="false">K21+J22</f>
        <v>2451880</v>
      </c>
      <c r="L22" s="93" t="n">
        <f aca="false">MAX(前提条件!$C$94-K22,0)</f>
        <v>2548120</v>
      </c>
      <c r="M22" s="34" t="n">
        <f aca="false">前提条件!$C$10</f>
        <v>37500</v>
      </c>
      <c r="N22" s="93" t="n">
        <f aca="false">J22-M22-R22-S22</f>
        <v>119913.333333333</v>
      </c>
      <c r="O22" s="93" t="n">
        <f aca="false">O21+N22</f>
        <v>1826880</v>
      </c>
      <c r="P22" s="93" t="n">
        <f aca="false">前提条件!$C$8-SUM(M$8:M22)+IF(前提条件!$C$86&lt;3,前提条件!$C$85-SUM(R$8:R22),0)</f>
        <v>4375000</v>
      </c>
      <c r="Q22" s="94" t="str">
        <f aca="false">IF(AND(K22&gt;=前提条件!$C$94,K21&lt;前提条件!$C$94),"◀投資回収","")</f>
        <v/>
      </c>
      <c r="R22" s="34" t="n">
        <f aca="false">IF(A22&lt;=前提条件!$C$89*12,前提条件!$C$90,0)</f>
        <v>4166.66666666667</v>
      </c>
      <c r="S22" s="34" t="n">
        <f aca="false">IF(A22=1,前提条件!$C$91,0)</f>
        <v>0</v>
      </c>
    </row>
    <row r="23" customFormat="false" ht="15" hidden="false" customHeight="false" outlineLevel="0" collapsed="false">
      <c r="A23" s="88" t="n">
        <v>16</v>
      </c>
      <c r="B23" s="89" t="n">
        <f aca="false">EDATE(前提条件!$C$11,A23-1)</f>
        <v>46874</v>
      </c>
      <c r="C23" s="90" t="n">
        <f aca="false">YEAR(B23)+IF(MONTH(B23)&gt;=7,1,0)-2027+48</f>
        <v>49</v>
      </c>
      <c r="D23" s="91" t="n">
        <f aca="false">前提条件!$C$26/365*DAY(EOMONTH(B23,0))</f>
        <v>31</v>
      </c>
      <c r="E23" s="92" t="n">
        <v>1</v>
      </c>
      <c r="F23" s="34" t="n">
        <f aca="false">前提条件!$C$64*D23*E23</f>
        <v>178250</v>
      </c>
      <c r="G23" s="34" t="n">
        <f aca="false">前提条件!$C$65*D23*E23</f>
        <v>2976</v>
      </c>
      <c r="H23" s="34" t="n">
        <f aca="false">(前提条件!$C$66+前提条件!$C$67)*D23</f>
        <v>6510</v>
      </c>
      <c r="I23" s="34" t="n">
        <f aca="false">前提条件!$C$74/12</f>
        <v>7500</v>
      </c>
      <c r="J23" s="93" t="n">
        <f aca="false">F23+G23-H23-I23</f>
        <v>167216</v>
      </c>
      <c r="K23" s="93" t="n">
        <f aca="false">K22+J23</f>
        <v>2619096</v>
      </c>
      <c r="L23" s="93" t="n">
        <f aca="false">MAX(前提条件!$C$94-K23,0)</f>
        <v>2380904</v>
      </c>
      <c r="M23" s="34" t="n">
        <f aca="false">前提条件!$C$10</f>
        <v>37500</v>
      </c>
      <c r="N23" s="93" t="n">
        <f aca="false">J23-M23-R23-S23</f>
        <v>125549.333333333</v>
      </c>
      <c r="O23" s="93" t="n">
        <f aca="false">O22+N23</f>
        <v>1952429.33333333</v>
      </c>
      <c r="P23" s="93" t="n">
        <f aca="false">前提条件!$C$8-SUM(M$8:M23)+IF(前提条件!$C$86&lt;3,前提条件!$C$85-SUM(R$8:R23),0)</f>
        <v>4333333.33333333</v>
      </c>
      <c r="Q23" s="94" t="str">
        <f aca="false">IF(AND(K23&gt;=前提条件!$C$94,K22&lt;前提条件!$C$94),"◀投資回収","")</f>
        <v/>
      </c>
      <c r="R23" s="34" t="n">
        <f aca="false">IF(A23&lt;=前提条件!$C$89*12,前提条件!$C$90,0)</f>
        <v>4166.66666666667</v>
      </c>
      <c r="S23" s="34" t="n">
        <f aca="false">IF(A23=1,前提条件!$C$91,0)</f>
        <v>0</v>
      </c>
    </row>
    <row r="24" customFormat="false" ht="15" hidden="false" customHeight="false" outlineLevel="0" collapsed="false">
      <c r="A24" s="88" t="n">
        <v>17</v>
      </c>
      <c r="B24" s="89" t="n">
        <f aca="false">EDATE(前提条件!$C$11,A24-1)</f>
        <v>46905</v>
      </c>
      <c r="C24" s="90" t="n">
        <f aca="false">YEAR(B24)+IF(MONTH(B24)&gt;=7,1,0)-2027+48</f>
        <v>49</v>
      </c>
      <c r="D24" s="91" t="n">
        <f aca="false">前提条件!$C$26/365*DAY(EOMONTH(B24,0))</f>
        <v>30</v>
      </c>
      <c r="E24" s="92" t="n">
        <v>1</v>
      </c>
      <c r="F24" s="34" t="n">
        <f aca="false">前提条件!$C$64*D24*E24</f>
        <v>172500</v>
      </c>
      <c r="G24" s="34" t="n">
        <f aca="false">前提条件!$C$65*D24*E24</f>
        <v>2880</v>
      </c>
      <c r="H24" s="34" t="n">
        <f aca="false">(前提条件!$C$66+前提条件!$C$67)*D24</f>
        <v>6300</v>
      </c>
      <c r="I24" s="34" t="n">
        <f aca="false">前提条件!$C$74/12</f>
        <v>7500</v>
      </c>
      <c r="J24" s="93" t="n">
        <f aca="false">F24+G24-H24-I24</f>
        <v>161580</v>
      </c>
      <c r="K24" s="93" t="n">
        <f aca="false">K23+J24</f>
        <v>2780676</v>
      </c>
      <c r="L24" s="93" t="n">
        <f aca="false">MAX(前提条件!$C$94-K24,0)</f>
        <v>2219324</v>
      </c>
      <c r="M24" s="34" t="n">
        <f aca="false">前提条件!$C$10</f>
        <v>37500</v>
      </c>
      <c r="N24" s="93" t="n">
        <f aca="false">J24-M24-R24-S24</f>
        <v>119913.333333333</v>
      </c>
      <c r="O24" s="93" t="n">
        <f aca="false">O23+N24</f>
        <v>2072342.66666667</v>
      </c>
      <c r="P24" s="93" t="n">
        <f aca="false">前提条件!$C$8-SUM(M$8:M24)+IF(前提条件!$C$86&lt;3,前提条件!$C$85-SUM(R$8:R24),0)</f>
        <v>4291666.66666667</v>
      </c>
      <c r="Q24" s="94" t="str">
        <f aca="false">IF(AND(K24&gt;=前提条件!$C$94,K23&lt;前提条件!$C$94),"◀投資回収","")</f>
        <v/>
      </c>
      <c r="R24" s="34" t="n">
        <f aca="false">IF(A24&lt;=前提条件!$C$89*12,前提条件!$C$90,0)</f>
        <v>4166.66666666667</v>
      </c>
      <c r="S24" s="34" t="n">
        <f aca="false">IF(A24=1,前提条件!$C$91,0)</f>
        <v>0</v>
      </c>
    </row>
    <row r="25" customFormat="false" ht="15" hidden="false" customHeight="false" outlineLevel="0" collapsed="false">
      <c r="A25" s="88" t="n">
        <v>18</v>
      </c>
      <c r="B25" s="89" t="n">
        <f aca="false">EDATE(前提条件!$C$11,A25-1)</f>
        <v>46935</v>
      </c>
      <c r="C25" s="90" t="n">
        <f aca="false">YEAR(B25)+IF(MONTH(B25)&gt;=7,1,0)-2027+48</f>
        <v>50</v>
      </c>
      <c r="D25" s="91" t="n">
        <f aca="false">前提条件!$C$26/365*DAY(EOMONTH(B25,0))</f>
        <v>31</v>
      </c>
      <c r="E25" s="92" t="n">
        <v>1</v>
      </c>
      <c r="F25" s="34" t="n">
        <f aca="false">前提条件!$C$64*D25*E25</f>
        <v>178250</v>
      </c>
      <c r="G25" s="34" t="n">
        <f aca="false">前提条件!$C$65*D25*E25</f>
        <v>2976</v>
      </c>
      <c r="H25" s="34" t="n">
        <f aca="false">(前提条件!$C$66+前提条件!$C$67)*D25</f>
        <v>6510</v>
      </c>
      <c r="I25" s="34" t="n">
        <f aca="false">前提条件!$C$74/12</f>
        <v>7500</v>
      </c>
      <c r="J25" s="93" t="n">
        <f aca="false">F25+G25-H25-I25</f>
        <v>167216</v>
      </c>
      <c r="K25" s="93" t="n">
        <f aca="false">K24+J25</f>
        <v>2947892</v>
      </c>
      <c r="L25" s="93" t="n">
        <f aca="false">MAX(前提条件!$C$94-K25,0)</f>
        <v>2052108</v>
      </c>
      <c r="M25" s="34" t="n">
        <f aca="false">前提条件!$C$10</f>
        <v>37500</v>
      </c>
      <c r="N25" s="93" t="n">
        <f aca="false">J25-M25-R25-S25</f>
        <v>125549.333333333</v>
      </c>
      <c r="O25" s="93" t="n">
        <f aca="false">O24+N25</f>
        <v>2197892</v>
      </c>
      <c r="P25" s="93" t="n">
        <f aca="false">前提条件!$C$8-SUM(M$8:M25)+IF(前提条件!$C$86&lt;3,前提条件!$C$85-SUM(R$8:R25),0)</f>
        <v>4250000</v>
      </c>
      <c r="Q25" s="94" t="str">
        <f aca="false">IF(AND(K25&gt;=前提条件!$C$94,K24&lt;前提条件!$C$94),"◀投資回収","")</f>
        <v/>
      </c>
      <c r="R25" s="34" t="n">
        <f aca="false">IF(A25&lt;=前提条件!$C$89*12,前提条件!$C$90,0)</f>
        <v>4166.66666666667</v>
      </c>
      <c r="S25" s="34" t="n">
        <f aca="false">IF(A25=1,前提条件!$C$91,0)</f>
        <v>0</v>
      </c>
    </row>
    <row r="26" customFormat="false" ht="15" hidden="false" customHeight="false" outlineLevel="0" collapsed="false">
      <c r="A26" s="88" t="n">
        <v>19</v>
      </c>
      <c r="B26" s="89" t="n">
        <f aca="false">EDATE(前提条件!$C$11,A26-1)</f>
        <v>46966</v>
      </c>
      <c r="C26" s="90" t="n">
        <f aca="false">YEAR(B26)+IF(MONTH(B26)&gt;=7,1,0)-2027+48</f>
        <v>50</v>
      </c>
      <c r="D26" s="91" t="n">
        <f aca="false">前提条件!$C$26/365*DAY(EOMONTH(B26,0))</f>
        <v>31</v>
      </c>
      <c r="E26" s="92" t="n">
        <v>1</v>
      </c>
      <c r="F26" s="34" t="n">
        <f aca="false">前提条件!$C$64*D26*E26</f>
        <v>178250</v>
      </c>
      <c r="G26" s="34" t="n">
        <f aca="false">前提条件!$C$65*D26*E26</f>
        <v>2976</v>
      </c>
      <c r="H26" s="34" t="n">
        <f aca="false">(前提条件!$C$66+前提条件!$C$67)*D26</f>
        <v>6510</v>
      </c>
      <c r="I26" s="34" t="n">
        <f aca="false">前提条件!$C$74/12</f>
        <v>7500</v>
      </c>
      <c r="J26" s="93" t="n">
        <f aca="false">F26+G26-H26-I26</f>
        <v>167216</v>
      </c>
      <c r="K26" s="93" t="n">
        <f aca="false">K25+J26</f>
        <v>3115108</v>
      </c>
      <c r="L26" s="93" t="n">
        <f aca="false">MAX(前提条件!$C$94-K26,0)</f>
        <v>1884892</v>
      </c>
      <c r="M26" s="34" t="n">
        <f aca="false">前提条件!$C$10</f>
        <v>37500</v>
      </c>
      <c r="N26" s="93" t="n">
        <f aca="false">J26-M26-R26-S26</f>
        <v>125549.333333333</v>
      </c>
      <c r="O26" s="93" t="n">
        <f aca="false">O25+N26</f>
        <v>2323441.33333333</v>
      </c>
      <c r="P26" s="93" t="n">
        <f aca="false">前提条件!$C$8-SUM(M$8:M26)+IF(前提条件!$C$86&lt;3,前提条件!$C$85-SUM(R$8:R26),0)</f>
        <v>4208333.33333333</v>
      </c>
      <c r="Q26" s="94" t="str">
        <f aca="false">IF(AND(K26&gt;=前提条件!$C$94,K25&lt;前提条件!$C$94),"◀投資回収","")</f>
        <v/>
      </c>
      <c r="R26" s="34" t="n">
        <f aca="false">IF(A26&lt;=前提条件!$C$89*12,前提条件!$C$90,0)</f>
        <v>4166.66666666667</v>
      </c>
      <c r="S26" s="34" t="n">
        <f aca="false">IF(A26=1,前提条件!$C$91,0)</f>
        <v>0</v>
      </c>
    </row>
    <row r="27" customFormat="false" ht="15" hidden="false" customHeight="false" outlineLevel="0" collapsed="false">
      <c r="A27" s="88" t="n">
        <v>20</v>
      </c>
      <c r="B27" s="89" t="n">
        <f aca="false">EDATE(前提条件!$C$11,A27-1)</f>
        <v>46997</v>
      </c>
      <c r="C27" s="90" t="n">
        <f aca="false">YEAR(B27)+IF(MONTH(B27)&gt;=7,1,0)-2027+48</f>
        <v>50</v>
      </c>
      <c r="D27" s="91" t="n">
        <f aca="false">前提条件!$C$26/365*DAY(EOMONTH(B27,0))</f>
        <v>30</v>
      </c>
      <c r="E27" s="92" t="n">
        <v>1</v>
      </c>
      <c r="F27" s="34" t="n">
        <f aca="false">前提条件!$C$64*D27*E27</f>
        <v>172500</v>
      </c>
      <c r="G27" s="34" t="n">
        <f aca="false">前提条件!$C$65*D27*E27</f>
        <v>2880</v>
      </c>
      <c r="H27" s="34" t="n">
        <f aca="false">(前提条件!$C$66+前提条件!$C$67)*D27</f>
        <v>6300</v>
      </c>
      <c r="I27" s="34" t="n">
        <f aca="false">前提条件!$C$74/12</f>
        <v>7500</v>
      </c>
      <c r="J27" s="93" t="n">
        <f aca="false">F27+G27-H27-I27</f>
        <v>161580</v>
      </c>
      <c r="K27" s="93" t="n">
        <f aca="false">K26+J27</f>
        <v>3276688</v>
      </c>
      <c r="L27" s="93" t="n">
        <f aca="false">MAX(前提条件!$C$94-K27,0)</f>
        <v>1723312</v>
      </c>
      <c r="M27" s="34" t="n">
        <f aca="false">前提条件!$C$10</f>
        <v>37500</v>
      </c>
      <c r="N27" s="93" t="n">
        <f aca="false">J27-M27-R27-S27</f>
        <v>119913.333333333</v>
      </c>
      <c r="O27" s="93" t="n">
        <f aca="false">O26+N27</f>
        <v>2443354.66666667</v>
      </c>
      <c r="P27" s="93" t="n">
        <f aca="false">前提条件!$C$8-SUM(M$8:M27)+IF(前提条件!$C$86&lt;3,前提条件!$C$85-SUM(R$8:R27),0)</f>
        <v>4166666.66666667</v>
      </c>
      <c r="Q27" s="94" t="str">
        <f aca="false">IF(AND(K27&gt;=前提条件!$C$94,K26&lt;前提条件!$C$94),"◀投資回収","")</f>
        <v/>
      </c>
      <c r="R27" s="34" t="n">
        <f aca="false">IF(A27&lt;=前提条件!$C$89*12,前提条件!$C$90,0)</f>
        <v>4166.66666666667</v>
      </c>
      <c r="S27" s="34" t="n">
        <f aca="false">IF(A27=1,前提条件!$C$91,0)</f>
        <v>0</v>
      </c>
    </row>
    <row r="28" customFormat="false" ht="15" hidden="false" customHeight="false" outlineLevel="0" collapsed="false">
      <c r="A28" s="88" t="n">
        <v>21</v>
      </c>
      <c r="B28" s="89" t="n">
        <f aca="false">EDATE(前提条件!$C$11,A28-1)</f>
        <v>47027</v>
      </c>
      <c r="C28" s="90" t="n">
        <f aca="false">YEAR(B28)+IF(MONTH(B28)&gt;=7,1,0)-2027+48</f>
        <v>50</v>
      </c>
      <c r="D28" s="91" t="n">
        <f aca="false">前提条件!$C$26/365*DAY(EOMONTH(B28,0))</f>
        <v>31</v>
      </c>
      <c r="E28" s="92" t="n">
        <v>1</v>
      </c>
      <c r="F28" s="34" t="n">
        <f aca="false">前提条件!$C$64*D28*E28</f>
        <v>178250</v>
      </c>
      <c r="G28" s="34" t="n">
        <f aca="false">前提条件!$C$65*D28*E28</f>
        <v>2976</v>
      </c>
      <c r="H28" s="34" t="n">
        <f aca="false">(前提条件!$C$66+前提条件!$C$67)*D28</f>
        <v>6510</v>
      </c>
      <c r="I28" s="34" t="n">
        <f aca="false">前提条件!$C$74/12</f>
        <v>7500</v>
      </c>
      <c r="J28" s="93" t="n">
        <f aca="false">F28+G28-H28-I28</f>
        <v>167216</v>
      </c>
      <c r="K28" s="93" t="n">
        <f aca="false">K27+J28</f>
        <v>3443904</v>
      </c>
      <c r="L28" s="93" t="n">
        <f aca="false">MAX(前提条件!$C$94-K28,0)</f>
        <v>1556096</v>
      </c>
      <c r="M28" s="34" t="n">
        <f aca="false">前提条件!$C$10</f>
        <v>37500</v>
      </c>
      <c r="N28" s="93" t="n">
        <f aca="false">J28-M28-R28-S28</f>
        <v>125549.333333333</v>
      </c>
      <c r="O28" s="93" t="n">
        <f aca="false">O27+N28</f>
        <v>2568904</v>
      </c>
      <c r="P28" s="93" t="n">
        <f aca="false">前提条件!$C$8-SUM(M$8:M28)+IF(前提条件!$C$86&lt;3,前提条件!$C$85-SUM(R$8:R28),0)</f>
        <v>4125000</v>
      </c>
      <c r="Q28" s="94" t="str">
        <f aca="false">IF(AND(K28&gt;=前提条件!$C$94,K27&lt;前提条件!$C$94),"◀投資回収","")</f>
        <v/>
      </c>
      <c r="R28" s="34" t="n">
        <f aca="false">IF(A28&lt;=前提条件!$C$89*12,前提条件!$C$90,0)</f>
        <v>4166.66666666667</v>
      </c>
      <c r="S28" s="34" t="n">
        <f aca="false">IF(A28=1,前提条件!$C$91,0)</f>
        <v>0</v>
      </c>
    </row>
    <row r="29" customFormat="false" ht="15" hidden="false" customHeight="false" outlineLevel="0" collapsed="false">
      <c r="A29" s="88" t="n">
        <v>22</v>
      </c>
      <c r="B29" s="89" t="n">
        <f aca="false">EDATE(前提条件!$C$11,A29-1)</f>
        <v>47058</v>
      </c>
      <c r="C29" s="90" t="n">
        <f aca="false">YEAR(B29)+IF(MONTH(B29)&gt;=7,1,0)-2027+48</f>
        <v>50</v>
      </c>
      <c r="D29" s="91" t="n">
        <f aca="false">前提条件!$C$26/365*DAY(EOMONTH(B29,0))</f>
        <v>30</v>
      </c>
      <c r="E29" s="92" t="n">
        <v>1</v>
      </c>
      <c r="F29" s="34" t="n">
        <f aca="false">前提条件!$C$64*D29*E29</f>
        <v>172500</v>
      </c>
      <c r="G29" s="34" t="n">
        <f aca="false">前提条件!$C$65*D29*E29</f>
        <v>2880</v>
      </c>
      <c r="H29" s="34" t="n">
        <f aca="false">(前提条件!$C$66+前提条件!$C$67)*D29</f>
        <v>6300</v>
      </c>
      <c r="I29" s="34" t="n">
        <f aca="false">前提条件!$C$74/12</f>
        <v>7500</v>
      </c>
      <c r="J29" s="93" t="n">
        <f aca="false">F29+G29-H29-I29</f>
        <v>161580</v>
      </c>
      <c r="K29" s="93" t="n">
        <f aca="false">K28+J29</f>
        <v>3605484</v>
      </c>
      <c r="L29" s="93" t="n">
        <f aca="false">MAX(前提条件!$C$94-K29,0)</f>
        <v>1394516</v>
      </c>
      <c r="M29" s="34" t="n">
        <f aca="false">前提条件!$C$10</f>
        <v>37500</v>
      </c>
      <c r="N29" s="93" t="n">
        <f aca="false">J29-M29-R29-S29</f>
        <v>119913.333333333</v>
      </c>
      <c r="O29" s="93" t="n">
        <f aca="false">O28+N29</f>
        <v>2688817.33333333</v>
      </c>
      <c r="P29" s="93" t="n">
        <f aca="false">前提条件!$C$8-SUM(M$8:M29)+IF(前提条件!$C$86&lt;3,前提条件!$C$85-SUM(R$8:R29),0)</f>
        <v>4083333.33333333</v>
      </c>
      <c r="Q29" s="94" t="str">
        <f aca="false">IF(AND(K29&gt;=前提条件!$C$94,K28&lt;前提条件!$C$94),"◀投資回収","")</f>
        <v/>
      </c>
      <c r="R29" s="34" t="n">
        <f aca="false">IF(A29&lt;=前提条件!$C$89*12,前提条件!$C$90,0)</f>
        <v>4166.66666666667</v>
      </c>
      <c r="S29" s="34" t="n">
        <f aca="false">IF(A29=1,前提条件!$C$91,0)</f>
        <v>0</v>
      </c>
    </row>
    <row r="30" customFormat="false" ht="15" hidden="false" customHeight="false" outlineLevel="0" collapsed="false">
      <c r="A30" s="88" t="n">
        <v>23</v>
      </c>
      <c r="B30" s="89" t="n">
        <f aca="false">EDATE(前提条件!$C$11,A30-1)</f>
        <v>47088</v>
      </c>
      <c r="C30" s="90" t="n">
        <f aca="false">YEAR(B30)+IF(MONTH(B30)&gt;=7,1,0)-2027+48</f>
        <v>50</v>
      </c>
      <c r="D30" s="91" t="n">
        <f aca="false">前提条件!$C$26/365*DAY(EOMONTH(B30,0))</f>
        <v>31</v>
      </c>
      <c r="E30" s="92" t="n">
        <v>1</v>
      </c>
      <c r="F30" s="34" t="n">
        <f aca="false">前提条件!$C$64*D30*E30</f>
        <v>178250</v>
      </c>
      <c r="G30" s="34" t="n">
        <f aca="false">前提条件!$C$65*D30*E30</f>
        <v>2976</v>
      </c>
      <c r="H30" s="34" t="n">
        <f aca="false">(前提条件!$C$66+前提条件!$C$67)*D30</f>
        <v>6510</v>
      </c>
      <c r="I30" s="34" t="n">
        <f aca="false">前提条件!$C$74/12</f>
        <v>7500</v>
      </c>
      <c r="J30" s="93" t="n">
        <f aca="false">F30+G30-H30-I30</f>
        <v>167216</v>
      </c>
      <c r="K30" s="93" t="n">
        <f aca="false">K29+J30</f>
        <v>3772700</v>
      </c>
      <c r="L30" s="93" t="n">
        <f aca="false">MAX(前提条件!$C$94-K30,0)</f>
        <v>1227300</v>
      </c>
      <c r="M30" s="34" t="n">
        <f aca="false">前提条件!$C$10</f>
        <v>37500</v>
      </c>
      <c r="N30" s="93" t="n">
        <f aca="false">J30-M30-R30-S30</f>
        <v>125549.333333333</v>
      </c>
      <c r="O30" s="93" t="n">
        <f aca="false">O29+N30</f>
        <v>2814366.66666667</v>
      </c>
      <c r="P30" s="93" t="n">
        <f aca="false">前提条件!$C$8-SUM(M$8:M30)+IF(前提条件!$C$86&lt;3,前提条件!$C$85-SUM(R$8:R30),0)</f>
        <v>4041666.66666667</v>
      </c>
      <c r="Q30" s="94" t="str">
        <f aca="false">IF(AND(K30&gt;=前提条件!$C$94,K29&lt;前提条件!$C$94),"◀投資回収","")</f>
        <v/>
      </c>
      <c r="R30" s="34" t="n">
        <f aca="false">IF(A30&lt;=前提条件!$C$89*12,前提条件!$C$90,0)</f>
        <v>4166.66666666667</v>
      </c>
      <c r="S30" s="34" t="n">
        <f aca="false">IF(A30=1,前提条件!$C$91,0)</f>
        <v>0</v>
      </c>
    </row>
    <row r="31" customFormat="false" ht="15" hidden="false" customHeight="false" outlineLevel="0" collapsed="false">
      <c r="A31" s="88" t="n">
        <v>24</v>
      </c>
      <c r="B31" s="89" t="n">
        <f aca="false">EDATE(前提条件!$C$11,A31-1)</f>
        <v>47119</v>
      </c>
      <c r="C31" s="90" t="n">
        <f aca="false">YEAR(B31)+IF(MONTH(B31)&gt;=7,1,0)-2027+48</f>
        <v>50</v>
      </c>
      <c r="D31" s="91" t="n">
        <f aca="false">前提条件!$C$26/365*DAY(EOMONTH(B31,0))</f>
        <v>31</v>
      </c>
      <c r="E31" s="92" t="n">
        <v>1</v>
      </c>
      <c r="F31" s="34" t="n">
        <f aca="false">前提条件!$C$64*D31*E31</f>
        <v>178250</v>
      </c>
      <c r="G31" s="34" t="n">
        <f aca="false">前提条件!$C$65*D31*E31</f>
        <v>2976</v>
      </c>
      <c r="H31" s="34" t="n">
        <f aca="false">(前提条件!$C$66+前提条件!$C$67)*D31</f>
        <v>6510</v>
      </c>
      <c r="I31" s="34" t="n">
        <f aca="false">前提条件!$C$74/12</f>
        <v>7500</v>
      </c>
      <c r="J31" s="93" t="n">
        <f aca="false">F31+G31-H31-I31</f>
        <v>167216</v>
      </c>
      <c r="K31" s="93" t="n">
        <f aca="false">K30+J31</f>
        <v>3939916</v>
      </c>
      <c r="L31" s="93" t="n">
        <f aca="false">MAX(前提条件!$C$94-K31,0)</f>
        <v>1060084</v>
      </c>
      <c r="M31" s="34" t="n">
        <f aca="false">前提条件!$C$10</f>
        <v>37500</v>
      </c>
      <c r="N31" s="93" t="n">
        <f aca="false">J31-M31-R31-S31</f>
        <v>125549.333333333</v>
      </c>
      <c r="O31" s="93" t="n">
        <f aca="false">O30+N31</f>
        <v>2939916</v>
      </c>
      <c r="P31" s="93" t="n">
        <f aca="false">前提条件!$C$8-SUM(M$8:M31)+IF(前提条件!$C$86&lt;3,前提条件!$C$85-SUM(R$8:R31),0)</f>
        <v>4000000</v>
      </c>
      <c r="Q31" s="94" t="str">
        <f aca="false">IF(AND(K31&gt;=前提条件!$C$94,K30&lt;前提条件!$C$94),"◀投資回収","")</f>
        <v/>
      </c>
      <c r="R31" s="34" t="n">
        <f aca="false">IF(A31&lt;=前提条件!$C$89*12,前提条件!$C$90,0)</f>
        <v>4166.66666666667</v>
      </c>
      <c r="S31" s="34" t="n">
        <f aca="false">IF(A31=1,前提条件!$C$91,0)</f>
        <v>0</v>
      </c>
    </row>
    <row r="32" customFormat="false" ht="15" hidden="false" customHeight="false" outlineLevel="0" collapsed="false">
      <c r="A32" s="88" t="n">
        <v>25</v>
      </c>
      <c r="B32" s="89" t="n">
        <f aca="false">EDATE(前提条件!$C$11,A32-1)</f>
        <v>47150</v>
      </c>
      <c r="C32" s="90" t="n">
        <f aca="false">YEAR(B32)+IF(MONTH(B32)&gt;=7,1,0)-2027+48</f>
        <v>50</v>
      </c>
      <c r="D32" s="91" t="n">
        <f aca="false">前提条件!$C$26/365*DAY(EOMONTH(B32,0))</f>
        <v>28</v>
      </c>
      <c r="E32" s="92" t="n">
        <v>1</v>
      </c>
      <c r="F32" s="34" t="n">
        <f aca="false">前提条件!$C$64*D32*E32</f>
        <v>161000</v>
      </c>
      <c r="G32" s="34" t="n">
        <f aca="false">前提条件!$C$65*D32*E32</f>
        <v>2688</v>
      </c>
      <c r="H32" s="34" t="n">
        <f aca="false">(前提条件!$C$66+前提条件!$C$67)*D32</f>
        <v>5880</v>
      </c>
      <c r="I32" s="34" t="n">
        <f aca="false">前提条件!$C$74/12</f>
        <v>7500</v>
      </c>
      <c r="J32" s="93" t="n">
        <f aca="false">F32+G32-H32-I32</f>
        <v>150308</v>
      </c>
      <c r="K32" s="93" t="n">
        <f aca="false">K31+J32</f>
        <v>4090224</v>
      </c>
      <c r="L32" s="93" t="n">
        <f aca="false">MAX(前提条件!$C$94-K32,0)</f>
        <v>909776</v>
      </c>
      <c r="M32" s="34" t="n">
        <f aca="false">前提条件!$C$10</f>
        <v>37500</v>
      </c>
      <c r="N32" s="93" t="n">
        <f aca="false">J32-M32-R32-S32</f>
        <v>108641.333333333</v>
      </c>
      <c r="O32" s="93" t="n">
        <f aca="false">O31+N32</f>
        <v>3048557.33333333</v>
      </c>
      <c r="P32" s="93" t="n">
        <f aca="false">前提条件!$C$8-SUM(M$8:M32)+IF(前提条件!$C$86&lt;3,前提条件!$C$85-SUM(R$8:R32),0)</f>
        <v>3958333.33333333</v>
      </c>
      <c r="Q32" s="94" t="str">
        <f aca="false">IF(AND(K32&gt;=前提条件!$C$94,K31&lt;前提条件!$C$94),"◀投資回収","")</f>
        <v/>
      </c>
      <c r="R32" s="34" t="n">
        <f aca="false">IF(A32&lt;=前提条件!$C$89*12,前提条件!$C$90,0)</f>
        <v>4166.66666666667</v>
      </c>
      <c r="S32" s="34" t="n">
        <f aca="false">IF(A32=1,前提条件!$C$91,0)</f>
        <v>0</v>
      </c>
    </row>
    <row r="33" customFormat="false" ht="15" hidden="false" customHeight="false" outlineLevel="0" collapsed="false">
      <c r="A33" s="88" t="n">
        <v>26</v>
      </c>
      <c r="B33" s="89" t="n">
        <f aca="false">EDATE(前提条件!$C$11,A33-1)</f>
        <v>47178</v>
      </c>
      <c r="C33" s="90" t="n">
        <f aca="false">YEAR(B33)+IF(MONTH(B33)&gt;=7,1,0)-2027+48</f>
        <v>50</v>
      </c>
      <c r="D33" s="91" t="n">
        <f aca="false">前提条件!$C$26/365*DAY(EOMONTH(B33,0))</f>
        <v>31</v>
      </c>
      <c r="E33" s="92" t="n">
        <v>1</v>
      </c>
      <c r="F33" s="34" t="n">
        <f aca="false">前提条件!$C$64*D33*E33</f>
        <v>178250</v>
      </c>
      <c r="G33" s="34" t="n">
        <f aca="false">前提条件!$C$65*D33*E33</f>
        <v>2976</v>
      </c>
      <c r="H33" s="34" t="n">
        <f aca="false">(前提条件!$C$66+前提条件!$C$67)*D33</f>
        <v>6510</v>
      </c>
      <c r="I33" s="34" t="n">
        <f aca="false">前提条件!$C$74/12</f>
        <v>7500</v>
      </c>
      <c r="J33" s="93" t="n">
        <f aca="false">F33+G33-H33-I33</f>
        <v>167216</v>
      </c>
      <c r="K33" s="93" t="n">
        <f aca="false">K32+J33</f>
        <v>4257440</v>
      </c>
      <c r="L33" s="93" t="n">
        <f aca="false">MAX(前提条件!$C$94-K33,0)</f>
        <v>742560</v>
      </c>
      <c r="M33" s="34" t="n">
        <f aca="false">前提条件!$C$10</f>
        <v>37500</v>
      </c>
      <c r="N33" s="93" t="n">
        <f aca="false">J33-M33-R33-S33</f>
        <v>125549.333333333</v>
      </c>
      <c r="O33" s="93" t="n">
        <f aca="false">O32+N33</f>
        <v>3174106.66666667</v>
      </c>
      <c r="P33" s="93" t="n">
        <f aca="false">前提条件!$C$8-SUM(M$8:M33)+IF(前提条件!$C$86&lt;3,前提条件!$C$85-SUM(R$8:R33),0)</f>
        <v>3916666.66666667</v>
      </c>
      <c r="Q33" s="94" t="str">
        <f aca="false">IF(AND(K33&gt;=前提条件!$C$94,K32&lt;前提条件!$C$94),"◀投資回収","")</f>
        <v/>
      </c>
      <c r="R33" s="34" t="n">
        <f aca="false">IF(A33&lt;=前提条件!$C$89*12,前提条件!$C$90,0)</f>
        <v>4166.66666666667</v>
      </c>
      <c r="S33" s="34" t="n">
        <f aca="false">IF(A33=1,前提条件!$C$91,0)</f>
        <v>0</v>
      </c>
    </row>
    <row r="34" customFormat="false" ht="15" hidden="false" customHeight="false" outlineLevel="0" collapsed="false">
      <c r="A34" s="88" t="n">
        <v>27</v>
      </c>
      <c r="B34" s="89" t="n">
        <f aca="false">EDATE(前提条件!$C$11,A34-1)</f>
        <v>47209</v>
      </c>
      <c r="C34" s="90" t="n">
        <f aca="false">YEAR(B34)+IF(MONTH(B34)&gt;=7,1,0)-2027+48</f>
        <v>50</v>
      </c>
      <c r="D34" s="91" t="n">
        <f aca="false">前提条件!$C$26/365*DAY(EOMONTH(B34,0))</f>
        <v>30</v>
      </c>
      <c r="E34" s="92" t="n">
        <v>1</v>
      </c>
      <c r="F34" s="34" t="n">
        <f aca="false">前提条件!$C$64*D34*E34</f>
        <v>172500</v>
      </c>
      <c r="G34" s="34" t="n">
        <f aca="false">前提条件!$C$65*D34*E34</f>
        <v>2880</v>
      </c>
      <c r="H34" s="34" t="n">
        <f aca="false">(前提条件!$C$66+前提条件!$C$67)*D34</f>
        <v>6300</v>
      </c>
      <c r="I34" s="34" t="n">
        <f aca="false">前提条件!$C$74/12</f>
        <v>7500</v>
      </c>
      <c r="J34" s="93" t="n">
        <f aca="false">F34+G34-H34-I34</f>
        <v>161580</v>
      </c>
      <c r="K34" s="93" t="n">
        <f aca="false">K33+J34</f>
        <v>4419020</v>
      </c>
      <c r="L34" s="93" t="n">
        <f aca="false">MAX(前提条件!$C$94-K34,0)</f>
        <v>580980</v>
      </c>
      <c r="M34" s="34" t="n">
        <f aca="false">前提条件!$C$10</f>
        <v>37500</v>
      </c>
      <c r="N34" s="93" t="n">
        <f aca="false">J34-M34-R34-S34</f>
        <v>119913.333333333</v>
      </c>
      <c r="O34" s="93" t="n">
        <f aca="false">O33+N34</f>
        <v>3294020</v>
      </c>
      <c r="P34" s="93" t="n">
        <f aca="false">前提条件!$C$8-SUM(M$8:M34)+IF(前提条件!$C$86&lt;3,前提条件!$C$85-SUM(R$8:R34),0)</f>
        <v>3875000</v>
      </c>
      <c r="Q34" s="94" t="str">
        <f aca="false">IF(AND(K34&gt;=前提条件!$C$94,K33&lt;前提条件!$C$94),"◀投資回収","")</f>
        <v/>
      </c>
      <c r="R34" s="34" t="n">
        <f aca="false">IF(A34&lt;=前提条件!$C$89*12,前提条件!$C$90,0)</f>
        <v>4166.66666666667</v>
      </c>
      <c r="S34" s="34" t="n">
        <f aca="false">IF(A34=1,前提条件!$C$91,0)</f>
        <v>0</v>
      </c>
    </row>
    <row r="35" customFormat="false" ht="15" hidden="false" customHeight="false" outlineLevel="0" collapsed="false">
      <c r="A35" s="88" t="n">
        <v>28</v>
      </c>
      <c r="B35" s="89" t="n">
        <f aca="false">EDATE(前提条件!$C$11,A35-1)</f>
        <v>47239</v>
      </c>
      <c r="C35" s="90" t="n">
        <f aca="false">YEAR(B35)+IF(MONTH(B35)&gt;=7,1,0)-2027+48</f>
        <v>50</v>
      </c>
      <c r="D35" s="91" t="n">
        <f aca="false">前提条件!$C$26/365*DAY(EOMONTH(B35,0))</f>
        <v>31</v>
      </c>
      <c r="E35" s="92" t="n">
        <v>1</v>
      </c>
      <c r="F35" s="34" t="n">
        <f aca="false">前提条件!$C$64*D35*E35</f>
        <v>178250</v>
      </c>
      <c r="G35" s="34" t="n">
        <f aca="false">前提条件!$C$65*D35*E35</f>
        <v>2976</v>
      </c>
      <c r="H35" s="34" t="n">
        <f aca="false">(前提条件!$C$66+前提条件!$C$67)*D35</f>
        <v>6510</v>
      </c>
      <c r="I35" s="34" t="n">
        <f aca="false">前提条件!$C$74/12</f>
        <v>7500</v>
      </c>
      <c r="J35" s="93" t="n">
        <f aca="false">F35+G35-H35-I35</f>
        <v>167216</v>
      </c>
      <c r="K35" s="93" t="n">
        <f aca="false">K34+J35</f>
        <v>4586236</v>
      </c>
      <c r="L35" s="93" t="n">
        <f aca="false">MAX(前提条件!$C$94-K35,0)</f>
        <v>413764</v>
      </c>
      <c r="M35" s="34" t="n">
        <f aca="false">前提条件!$C$10</f>
        <v>37500</v>
      </c>
      <c r="N35" s="93" t="n">
        <f aca="false">J35-M35-R35-S35</f>
        <v>125549.333333333</v>
      </c>
      <c r="O35" s="93" t="n">
        <f aca="false">O34+N35</f>
        <v>3419569.33333333</v>
      </c>
      <c r="P35" s="93" t="n">
        <f aca="false">前提条件!$C$8-SUM(M$8:M35)+IF(前提条件!$C$86&lt;3,前提条件!$C$85-SUM(R$8:R35),0)</f>
        <v>3833333.33333333</v>
      </c>
      <c r="Q35" s="94" t="str">
        <f aca="false">IF(AND(K35&gt;=前提条件!$C$94,K34&lt;前提条件!$C$94),"◀投資回収","")</f>
        <v/>
      </c>
      <c r="R35" s="34" t="n">
        <f aca="false">IF(A35&lt;=前提条件!$C$89*12,前提条件!$C$90,0)</f>
        <v>4166.66666666667</v>
      </c>
      <c r="S35" s="34" t="n">
        <f aca="false">IF(A35=1,前提条件!$C$91,0)</f>
        <v>0</v>
      </c>
    </row>
    <row r="36" customFormat="false" ht="15" hidden="false" customHeight="false" outlineLevel="0" collapsed="false">
      <c r="A36" s="88" t="n">
        <v>29</v>
      </c>
      <c r="B36" s="89" t="n">
        <f aca="false">EDATE(前提条件!$C$11,A36-1)</f>
        <v>47270</v>
      </c>
      <c r="C36" s="90" t="n">
        <f aca="false">YEAR(B36)+IF(MONTH(B36)&gt;=7,1,0)-2027+48</f>
        <v>50</v>
      </c>
      <c r="D36" s="91" t="n">
        <f aca="false">前提条件!$C$26/365*DAY(EOMONTH(B36,0))</f>
        <v>30</v>
      </c>
      <c r="E36" s="92" t="n">
        <v>1</v>
      </c>
      <c r="F36" s="34" t="n">
        <f aca="false">前提条件!$C$64*D36*E36</f>
        <v>172500</v>
      </c>
      <c r="G36" s="34" t="n">
        <f aca="false">前提条件!$C$65*D36*E36</f>
        <v>2880</v>
      </c>
      <c r="H36" s="34" t="n">
        <f aca="false">(前提条件!$C$66+前提条件!$C$67)*D36</f>
        <v>6300</v>
      </c>
      <c r="I36" s="34" t="n">
        <f aca="false">前提条件!$C$74/12</f>
        <v>7500</v>
      </c>
      <c r="J36" s="93" t="n">
        <f aca="false">F36+G36-H36-I36</f>
        <v>161580</v>
      </c>
      <c r="K36" s="93" t="n">
        <f aca="false">K35+J36</f>
        <v>4747816</v>
      </c>
      <c r="L36" s="93" t="n">
        <f aca="false">MAX(前提条件!$C$94-K36,0)</f>
        <v>252184</v>
      </c>
      <c r="M36" s="34" t="n">
        <f aca="false">前提条件!$C$10</f>
        <v>37500</v>
      </c>
      <c r="N36" s="93" t="n">
        <f aca="false">J36-M36-R36-S36</f>
        <v>119913.333333333</v>
      </c>
      <c r="O36" s="93" t="n">
        <f aca="false">O35+N36</f>
        <v>3539482.66666667</v>
      </c>
      <c r="P36" s="93" t="n">
        <f aca="false">前提条件!$C$8-SUM(M$8:M36)+IF(前提条件!$C$86&lt;3,前提条件!$C$85-SUM(R$8:R36),0)</f>
        <v>3791666.66666667</v>
      </c>
      <c r="Q36" s="94" t="str">
        <f aca="false">IF(AND(K36&gt;=前提条件!$C$94,K35&lt;前提条件!$C$94),"◀投資回収","")</f>
        <v/>
      </c>
      <c r="R36" s="34" t="n">
        <f aca="false">IF(A36&lt;=前提条件!$C$89*12,前提条件!$C$90,0)</f>
        <v>4166.66666666667</v>
      </c>
      <c r="S36" s="34" t="n">
        <f aca="false">IF(A36=1,前提条件!$C$91,0)</f>
        <v>0</v>
      </c>
    </row>
    <row r="37" customFormat="false" ht="15" hidden="false" customHeight="false" outlineLevel="0" collapsed="false">
      <c r="A37" s="88" t="n">
        <v>30</v>
      </c>
      <c r="B37" s="89" t="n">
        <f aca="false">EDATE(前提条件!$C$11,A37-1)</f>
        <v>47300</v>
      </c>
      <c r="C37" s="90" t="n">
        <f aca="false">YEAR(B37)+IF(MONTH(B37)&gt;=7,1,0)-2027+48</f>
        <v>51</v>
      </c>
      <c r="D37" s="91" t="n">
        <f aca="false">前提条件!$C$26/365*DAY(EOMONTH(B37,0))</f>
        <v>31</v>
      </c>
      <c r="E37" s="92" t="n">
        <v>1</v>
      </c>
      <c r="F37" s="34" t="n">
        <f aca="false">前提条件!$C$64*D37*E37</f>
        <v>178250</v>
      </c>
      <c r="G37" s="34" t="n">
        <f aca="false">前提条件!$C$65*D37*E37</f>
        <v>2976</v>
      </c>
      <c r="H37" s="34" t="n">
        <f aca="false">(前提条件!$C$66+前提条件!$C$67)*D37</f>
        <v>6510</v>
      </c>
      <c r="I37" s="34" t="n">
        <f aca="false">前提条件!$C$74/12</f>
        <v>7500</v>
      </c>
      <c r="J37" s="93" t="n">
        <f aca="false">F37+G37-H37-I37</f>
        <v>167216</v>
      </c>
      <c r="K37" s="93" t="n">
        <f aca="false">K36+J37</f>
        <v>4915032</v>
      </c>
      <c r="L37" s="93" t="n">
        <f aca="false">MAX(前提条件!$C$94-K37,0)</f>
        <v>84968</v>
      </c>
      <c r="M37" s="34" t="n">
        <f aca="false">前提条件!$C$10</f>
        <v>37500</v>
      </c>
      <c r="N37" s="93" t="n">
        <f aca="false">J37-M37-R37-S37</f>
        <v>125549.333333333</v>
      </c>
      <c r="O37" s="93" t="n">
        <f aca="false">O36+N37</f>
        <v>3665032</v>
      </c>
      <c r="P37" s="93" t="n">
        <f aca="false">前提条件!$C$8-SUM(M$8:M37)+IF(前提条件!$C$86&lt;3,前提条件!$C$85-SUM(R$8:R37),0)</f>
        <v>3750000</v>
      </c>
      <c r="Q37" s="94" t="str">
        <f aca="false">IF(AND(K37&gt;=前提条件!$C$94,K36&lt;前提条件!$C$94),"◀投資回収","")</f>
        <v/>
      </c>
      <c r="R37" s="34" t="n">
        <f aca="false">IF(A37&lt;=前提条件!$C$89*12,前提条件!$C$90,0)</f>
        <v>4166.66666666667</v>
      </c>
      <c r="S37" s="34" t="n">
        <f aca="false">IF(A37=1,前提条件!$C$91,0)</f>
        <v>0</v>
      </c>
    </row>
    <row r="38" customFormat="false" ht="15" hidden="false" customHeight="false" outlineLevel="0" collapsed="false">
      <c r="A38" s="88" t="n">
        <v>31</v>
      </c>
      <c r="B38" s="89" t="n">
        <f aca="false">EDATE(前提条件!$C$11,A38-1)</f>
        <v>47331</v>
      </c>
      <c r="C38" s="90" t="n">
        <f aca="false">YEAR(B38)+IF(MONTH(B38)&gt;=7,1,0)-2027+48</f>
        <v>51</v>
      </c>
      <c r="D38" s="91" t="n">
        <f aca="false">前提条件!$C$26/365*DAY(EOMONTH(B38,0))</f>
        <v>31</v>
      </c>
      <c r="E38" s="92" t="n">
        <v>1</v>
      </c>
      <c r="F38" s="34" t="n">
        <f aca="false">前提条件!$C$64*D38*E38</f>
        <v>178250</v>
      </c>
      <c r="G38" s="34" t="n">
        <f aca="false">前提条件!$C$65*D38*E38</f>
        <v>2976</v>
      </c>
      <c r="H38" s="34" t="n">
        <f aca="false">(前提条件!$C$66+前提条件!$C$67)*D38</f>
        <v>6510</v>
      </c>
      <c r="I38" s="34" t="n">
        <f aca="false">前提条件!$C$74/12</f>
        <v>7500</v>
      </c>
      <c r="J38" s="93" t="n">
        <f aca="false">F38+G38-H38-I38</f>
        <v>167216</v>
      </c>
      <c r="K38" s="93" t="n">
        <f aca="false">K37+J38</f>
        <v>5082248</v>
      </c>
      <c r="L38" s="93" t="n">
        <f aca="false">MAX(前提条件!$C$94-K38,0)</f>
        <v>0</v>
      </c>
      <c r="M38" s="34" t="n">
        <f aca="false">前提条件!$C$10</f>
        <v>37500</v>
      </c>
      <c r="N38" s="93" t="n">
        <f aca="false">J38-M38-R38-S38</f>
        <v>125549.333333333</v>
      </c>
      <c r="O38" s="93" t="n">
        <f aca="false">O37+N38</f>
        <v>3790581.33333334</v>
      </c>
      <c r="P38" s="93" t="n">
        <f aca="false">前提条件!$C$8-SUM(M$8:M38)+IF(前提条件!$C$86&lt;3,前提条件!$C$85-SUM(R$8:R38),0)</f>
        <v>3708333.33333333</v>
      </c>
      <c r="Q38" s="94" t="str">
        <f aca="false">IF(AND(K38&gt;=前提条件!$C$94,K37&lt;前提条件!$C$94),"◀投資回収","")</f>
        <v>◀投資回収</v>
      </c>
      <c r="R38" s="34" t="n">
        <f aca="false">IF(A38&lt;=前提条件!$C$89*12,前提条件!$C$90,0)</f>
        <v>4166.66666666667</v>
      </c>
      <c r="S38" s="34" t="n">
        <f aca="false">IF(A38=1,前提条件!$C$91,0)</f>
        <v>0</v>
      </c>
    </row>
    <row r="39" customFormat="false" ht="15" hidden="false" customHeight="false" outlineLevel="0" collapsed="false">
      <c r="A39" s="88" t="n">
        <v>32</v>
      </c>
      <c r="B39" s="89" t="n">
        <f aca="false">EDATE(前提条件!$C$11,A39-1)</f>
        <v>47362</v>
      </c>
      <c r="C39" s="90" t="n">
        <f aca="false">YEAR(B39)+IF(MONTH(B39)&gt;=7,1,0)-2027+48</f>
        <v>51</v>
      </c>
      <c r="D39" s="91" t="n">
        <f aca="false">前提条件!$C$26/365*DAY(EOMONTH(B39,0))</f>
        <v>30</v>
      </c>
      <c r="E39" s="92" t="n">
        <v>1</v>
      </c>
      <c r="F39" s="34" t="n">
        <f aca="false">前提条件!$C$64*D39*E39</f>
        <v>172500</v>
      </c>
      <c r="G39" s="34" t="n">
        <f aca="false">前提条件!$C$65*D39*E39</f>
        <v>2880</v>
      </c>
      <c r="H39" s="34" t="n">
        <f aca="false">(前提条件!$C$66+前提条件!$C$67)*D39</f>
        <v>6300</v>
      </c>
      <c r="I39" s="34" t="n">
        <f aca="false">前提条件!$C$74/12</f>
        <v>7500</v>
      </c>
      <c r="J39" s="93" t="n">
        <f aca="false">F39+G39-H39-I39</f>
        <v>161580</v>
      </c>
      <c r="K39" s="93" t="n">
        <f aca="false">K38+J39</f>
        <v>5243828</v>
      </c>
      <c r="L39" s="93" t="n">
        <f aca="false">MAX(前提条件!$C$94-K39,0)</f>
        <v>0</v>
      </c>
      <c r="M39" s="34" t="n">
        <f aca="false">前提条件!$C$10</f>
        <v>37500</v>
      </c>
      <c r="N39" s="93" t="n">
        <f aca="false">J39-M39-R39-S39</f>
        <v>119913.333333333</v>
      </c>
      <c r="O39" s="93" t="n">
        <f aca="false">O38+N39</f>
        <v>3910494.66666667</v>
      </c>
      <c r="P39" s="93" t="n">
        <f aca="false">前提条件!$C$8-SUM(M$8:M39)+IF(前提条件!$C$86&lt;3,前提条件!$C$85-SUM(R$8:R39),0)</f>
        <v>3666666.66666667</v>
      </c>
      <c r="Q39" s="94" t="str">
        <f aca="false">IF(AND(K39&gt;=前提条件!$C$94,K38&lt;前提条件!$C$94),"◀投資回収","")</f>
        <v/>
      </c>
      <c r="R39" s="34" t="n">
        <f aca="false">IF(A39&lt;=前提条件!$C$89*12,前提条件!$C$90,0)</f>
        <v>4166.66666666667</v>
      </c>
      <c r="S39" s="34" t="n">
        <f aca="false">IF(A39=1,前提条件!$C$91,0)</f>
        <v>0</v>
      </c>
    </row>
    <row r="40" customFormat="false" ht="15" hidden="false" customHeight="false" outlineLevel="0" collapsed="false">
      <c r="A40" s="88" t="n">
        <v>33</v>
      </c>
      <c r="B40" s="89" t="n">
        <f aca="false">EDATE(前提条件!$C$11,A40-1)</f>
        <v>47392</v>
      </c>
      <c r="C40" s="90" t="n">
        <f aca="false">YEAR(B40)+IF(MONTH(B40)&gt;=7,1,0)-2027+48</f>
        <v>51</v>
      </c>
      <c r="D40" s="91" t="n">
        <f aca="false">前提条件!$C$26/365*DAY(EOMONTH(B40,0))</f>
        <v>31</v>
      </c>
      <c r="E40" s="92" t="n">
        <v>1</v>
      </c>
      <c r="F40" s="34" t="n">
        <f aca="false">前提条件!$C$64*D40*E40</f>
        <v>178250</v>
      </c>
      <c r="G40" s="34" t="n">
        <f aca="false">前提条件!$C$65*D40*E40</f>
        <v>2976</v>
      </c>
      <c r="H40" s="34" t="n">
        <f aca="false">(前提条件!$C$66+前提条件!$C$67)*D40</f>
        <v>6510</v>
      </c>
      <c r="I40" s="34" t="n">
        <f aca="false">前提条件!$C$74/12</f>
        <v>7500</v>
      </c>
      <c r="J40" s="93" t="n">
        <f aca="false">F40+G40-H40-I40</f>
        <v>167216</v>
      </c>
      <c r="K40" s="93" t="n">
        <f aca="false">K39+J40</f>
        <v>5411044</v>
      </c>
      <c r="L40" s="93" t="n">
        <f aca="false">MAX(前提条件!$C$94-K40,0)</f>
        <v>0</v>
      </c>
      <c r="M40" s="34" t="n">
        <f aca="false">前提条件!$C$10</f>
        <v>37500</v>
      </c>
      <c r="N40" s="93" t="n">
        <f aca="false">J40-M40-R40-S40</f>
        <v>125549.333333333</v>
      </c>
      <c r="O40" s="93" t="n">
        <f aca="false">O39+N40</f>
        <v>4036044</v>
      </c>
      <c r="P40" s="93" t="n">
        <f aca="false">前提条件!$C$8-SUM(M$8:M40)+IF(前提条件!$C$86&lt;3,前提条件!$C$85-SUM(R$8:R40),0)</f>
        <v>3625000</v>
      </c>
      <c r="Q40" s="94" t="str">
        <f aca="false">IF(AND(K40&gt;=前提条件!$C$94,K39&lt;前提条件!$C$94),"◀投資回収","")</f>
        <v/>
      </c>
      <c r="R40" s="34" t="n">
        <f aca="false">IF(A40&lt;=前提条件!$C$89*12,前提条件!$C$90,0)</f>
        <v>4166.66666666667</v>
      </c>
      <c r="S40" s="34" t="n">
        <f aca="false">IF(A40=1,前提条件!$C$91,0)</f>
        <v>0</v>
      </c>
    </row>
    <row r="41" customFormat="false" ht="15" hidden="false" customHeight="false" outlineLevel="0" collapsed="false">
      <c r="A41" s="88" t="n">
        <v>34</v>
      </c>
      <c r="B41" s="89" t="n">
        <f aca="false">EDATE(前提条件!$C$11,A41-1)</f>
        <v>47423</v>
      </c>
      <c r="C41" s="90" t="n">
        <f aca="false">YEAR(B41)+IF(MONTH(B41)&gt;=7,1,0)-2027+48</f>
        <v>51</v>
      </c>
      <c r="D41" s="91" t="n">
        <f aca="false">前提条件!$C$26/365*DAY(EOMONTH(B41,0))</f>
        <v>30</v>
      </c>
      <c r="E41" s="92" t="n">
        <v>1</v>
      </c>
      <c r="F41" s="34" t="n">
        <f aca="false">前提条件!$C$64*D41*E41</f>
        <v>172500</v>
      </c>
      <c r="G41" s="34" t="n">
        <f aca="false">前提条件!$C$65*D41*E41</f>
        <v>2880</v>
      </c>
      <c r="H41" s="34" t="n">
        <f aca="false">(前提条件!$C$66+前提条件!$C$67)*D41</f>
        <v>6300</v>
      </c>
      <c r="I41" s="34" t="n">
        <f aca="false">前提条件!$C$74/12</f>
        <v>7500</v>
      </c>
      <c r="J41" s="93" t="n">
        <f aca="false">F41+G41-H41-I41</f>
        <v>161580</v>
      </c>
      <c r="K41" s="93" t="n">
        <f aca="false">K40+J41</f>
        <v>5572624</v>
      </c>
      <c r="L41" s="93" t="n">
        <f aca="false">MAX(前提条件!$C$94-K41,0)</f>
        <v>0</v>
      </c>
      <c r="M41" s="34" t="n">
        <f aca="false">前提条件!$C$10</f>
        <v>37500</v>
      </c>
      <c r="N41" s="93" t="n">
        <f aca="false">J41-M41-R41-S41</f>
        <v>119913.333333333</v>
      </c>
      <c r="O41" s="93" t="n">
        <f aca="false">O40+N41</f>
        <v>4155957.33333334</v>
      </c>
      <c r="P41" s="93" t="n">
        <f aca="false">前提条件!$C$8-SUM(M$8:M41)+IF(前提条件!$C$86&lt;3,前提条件!$C$85-SUM(R$8:R41),0)</f>
        <v>3583333.33333333</v>
      </c>
      <c r="Q41" s="94" t="str">
        <f aca="false">IF(AND(K41&gt;=前提条件!$C$94,K40&lt;前提条件!$C$94),"◀投資回収","")</f>
        <v/>
      </c>
      <c r="R41" s="34" t="n">
        <f aca="false">IF(A41&lt;=前提条件!$C$89*12,前提条件!$C$90,0)</f>
        <v>4166.66666666667</v>
      </c>
      <c r="S41" s="34" t="n">
        <f aca="false">IF(A41=1,前提条件!$C$91,0)</f>
        <v>0</v>
      </c>
    </row>
    <row r="42" customFormat="false" ht="15" hidden="false" customHeight="false" outlineLevel="0" collapsed="false">
      <c r="A42" s="88" t="n">
        <v>35</v>
      </c>
      <c r="B42" s="89" t="n">
        <f aca="false">EDATE(前提条件!$C$11,A42-1)</f>
        <v>47453</v>
      </c>
      <c r="C42" s="90" t="n">
        <f aca="false">YEAR(B42)+IF(MONTH(B42)&gt;=7,1,0)-2027+48</f>
        <v>51</v>
      </c>
      <c r="D42" s="91" t="n">
        <f aca="false">前提条件!$C$26/365*DAY(EOMONTH(B42,0))</f>
        <v>31</v>
      </c>
      <c r="E42" s="92" t="n">
        <v>1</v>
      </c>
      <c r="F42" s="34" t="n">
        <f aca="false">前提条件!$C$64*D42*E42</f>
        <v>178250</v>
      </c>
      <c r="G42" s="34" t="n">
        <f aca="false">前提条件!$C$65*D42*E42</f>
        <v>2976</v>
      </c>
      <c r="H42" s="34" t="n">
        <f aca="false">(前提条件!$C$66+前提条件!$C$67)*D42</f>
        <v>6510</v>
      </c>
      <c r="I42" s="34" t="n">
        <f aca="false">前提条件!$C$74/12</f>
        <v>7500</v>
      </c>
      <c r="J42" s="93" t="n">
        <f aca="false">F42+G42-H42-I42</f>
        <v>167216</v>
      </c>
      <c r="K42" s="93" t="n">
        <f aca="false">K41+J42</f>
        <v>5739840</v>
      </c>
      <c r="L42" s="93" t="n">
        <f aca="false">MAX(前提条件!$C$94-K42,0)</f>
        <v>0</v>
      </c>
      <c r="M42" s="34" t="n">
        <f aca="false">前提条件!$C$10</f>
        <v>37500</v>
      </c>
      <c r="N42" s="93" t="n">
        <f aca="false">J42-M42-R42-S42</f>
        <v>125549.333333333</v>
      </c>
      <c r="O42" s="93" t="n">
        <f aca="false">O41+N42</f>
        <v>4281506.66666667</v>
      </c>
      <c r="P42" s="93" t="n">
        <f aca="false">前提条件!$C$8-SUM(M$8:M42)+IF(前提条件!$C$86&lt;3,前提条件!$C$85-SUM(R$8:R42),0)</f>
        <v>3541666.66666667</v>
      </c>
      <c r="Q42" s="94" t="str">
        <f aca="false">IF(AND(K42&gt;=前提条件!$C$94,K41&lt;前提条件!$C$94),"◀投資回収","")</f>
        <v/>
      </c>
      <c r="R42" s="34" t="n">
        <f aca="false">IF(A42&lt;=前提条件!$C$89*12,前提条件!$C$90,0)</f>
        <v>4166.66666666667</v>
      </c>
      <c r="S42" s="34" t="n">
        <f aca="false">IF(A42=1,前提条件!$C$91,0)</f>
        <v>0</v>
      </c>
    </row>
    <row r="43" customFormat="false" ht="15" hidden="false" customHeight="false" outlineLevel="0" collapsed="false">
      <c r="A43" s="88" t="n">
        <v>36</v>
      </c>
      <c r="B43" s="89" t="n">
        <f aca="false">EDATE(前提条件!$C$11,A43-1)</f>
        <v>47484</v>
      </c>
      <c r="C43" s="90" t="n">
        <f aca="false">YEAR(B43)+IF(MONTH(B43)&gt;=7,1,0)-2027+48</f>
        <v>51</v>
      </c>
      <c r="D43" s="91" t="n">
        <f aca="false">前提条件!$C$26/365*DAY(EOMONTH(B43,0))</f>
        <v>31</v>
      </c>
      <c r="E43" s="92" t="n">
        <v>1</v>
      </c>
      <c r="F43" s="34" t="n">
        <f aca="false">前提条件!$C$64*D43*E43</f>
        <v>178250</v>
      </c>
      <c r="G43" s="34" t="n">
        <f aca="false">前提条件!$C$65*D43*E43</f>
        <v>2976</v>
      </c>
      <c r="H43" s="34" t="n">
        <f aca="false">(前提条件!$C$66+前提条件!$C$67)*D43</f>
        <v>6510</v>
      </c>
      <c r="I43" s="34" t="n">
        <f aca="false">前提条件!$C$74/12</f>
        <v>7500</v>
      </c>
      <c r="J43" s="93" t="n">
        <f aca="false">F43+G43-H43-I43</f>
        <v>167216</v>
      </c>
      <c r="K43" s="93" t="n">
        <f aca="false">K42+J43</f>
        <v>5907056</v>
      </c>
      <c r="L43" s="93" t="n">
        <f aca="false">MAX(前提条件!$C$94-K43,0)</f>
        <v>0</v>
      </c>
      <c r="M43" s="34" t="n">
        <f aca="false">前提条件!$C$10</f>
        <v>37500</v>
      </c>
      <c r="N43" s="93" t="n">
        <f aca="false">J43-M43-R43-S43</f>
        <v>125549.333333333</v>
      </c>
      <c r="O43" s="93" t="n">
        <f aca="false">O42+N43</f>
        <v>4407056</v>
      </c>
      <c r="P43" s="93" t="n">
        <f aca="false">前提条件!$C$8-SUM(M$8:M43)+IF(前提条件!$C$86&lt;3,前提条件!$C$85-SUM(R$8:R43),0)</f>
        <v>3500000</v>
      </c>
      <c r="Q43" s="94" t="str">
        <f aca="false">IF(AND(K43&gt;=前提条件!$C$94,K42&lt;前提条件!$C$94),"◀投資回収","")</f>
        <v/>
      </c>
      <c r="R43" s="34" t="n">
        <f aca="false">IF(A43&lt;=前提条件!$C$89*12,前提条件!$C$90,0)</f>
        <v>4166.66666666667</v>
      </c>
      <c r="S43" s="34" t="n">
        <f aca="false">IF(A43=1,前提条件!$C$91,0)</f>
        <v>0</v>
      </c>
    </row>
    <row r="44" customFormat="false" ht="15" hidden="false" customHeight="false" outlineLevel="0" collapsed="false">
      <c r="A44" s="88" t="n">
        <v>37</v>
      </c>
      <c r="B44" s="89" t="n">
        <f aca="false">EDATE(前提条件!$C$11,A44-1)</f>
        <v>47515</v>
      </c>
      <c r="C44" s="90" t="n">
        <f aca="false">YEAR(B44)+IF(MONTH(B44)&gt;=7,1,0)-2027+48</f>
        <v>51</v>
      </c>
      <c r="D44" s="91" t="n">
        <f aca="false">前提条件!$C$26/365*DAY(EOMONTH(B44,0))</f>
        <v>28</v>
      </c>
      <c r="E44" s="92" t="n">
        <v>1</v>
      </c>
      <c r="F44" s="34" t="n">
        <f aca="false">前提条件!$C$64*D44*E44</f>
        <v>161000</v>
      </c>
      <c r="G44" s="34" t="n">
        <f aca="false">前提条件!$C$65*D44*E44</f>
        <v>2688</v>
      </c>
      <c r="H44" s="34" t="n">
        <f aca="false">(前提条件!$C$66+前提条件!$C$67)*D44</f>
        <v>5880</v>
      </c>
      <c r="I44" s="34" t="n">
        <f aca="false">前提条件!$C$74/12</f>
        <v>7500</v>
      </c>
      <c r="J44" s="93" t="n">
        <f aca="false">F44+G44-H44-I44</f>
        <v>150308</v>
      </c>
      <c r="K44" s="93" t="n">
        <f aca="false">K43+J44</f>
        <v>6057364</v>
      </c>
      <c r="L44" s="93" t="n">
        <f aca="false">MAX(前提条件!$C$94-K44,0)</f>
        <v>0</v>
      </c>
      <c r="M44" s="34" t="n">
        <f aca="false">前提条件!$C$10</f>
        <v>37500</v>
      </c>
      <c r="N44" s="93" t="n">
        <f aca="false">J44-M44-R44-S44</f>
        <v>108641.333333333</v>
      </c>
      <c r="O44" s="93" t="n">
        <f aca="false">O43+N44</f>
        <v>4515697.33333334</v>
      </c>
      <c r="P44" s="93" t="n">
        <f aca="false">前提条件!$C$8-SUM(M$8:M44)+IF(前提条件!$C$86&lt;3,前提条件!$C$85-SUM(R$8:R44),0)</f>
        <v>3458333.33333333</v>
      </c>
      <c r="Q44" s="94" t="str">
        <f aca="false">IF(AND(K44&gt;=前提条件!$C$94,K43&lt;前提条件!$C$94),"◀投資回収","")</f>
        <v/>
      </c>
      <c r="R44" s="34" t="n">
        <f aca="false">IF(A44&lt;=前提条件!$C$89*12,前提条件!$C$90,0)</f>
        <v>4166.66666666667</v>
      </c>
      <c r="S44" s="34" t="n">
        <f aca="false">IF(A44=1,前提条件!$C$91,0)</f>
        <v>0</v>
      </c>
    </row>
    <row r="45" customFormat="false" ht="15" hidden="false" customHeight="false" outlineLevel="0" collapsed="false">
      <c r="A45" s="88" t="n">
        <v>38</v>
      </c>
      <c r="B45" s="89" t="n">
        <f aca="false">EDATE(前提条件!$C$11,A45-1)</f>
        <v>47543</v>
      </c>
      <c r="C45" s="90" t="n">
        <f aca="false">YEAR(B45)+IF(MONTH(B45)&gt;=7,1,0)-2027+48</f>
        <v>51</v>
      </c>
      <c r="D45" s="91" t="n">
        <f aca="false">前提条件!$C$26/365*DAY(EOMONTH(B45,0))</f>
        <v>31</v>
      </c>
      <c r="E45" s="92" t="n">
        <v>1</v>
      </c>
      <c r="F45" s="34" t="n">
        <f aca="false">前提条件!$C$64*D45*E45</f>
        <v>178250</v>
      </c>
      <c r="G45" s="34" t="n">
        <f aca="false">前提条件!$C$65*D45*E45</f>
        <v>2976</v>
      </c>
      <c r="H45" s="34" t="n">
        <f aca="false">(前提条件!$C$66+前提条件!$C$67)*D45</f>
        <v>6510</v>
      </c>
      <c r="I45" s="34" t="n">
        <f aca="false">前提条件!$C$74/12</f>
        <v>7500</v>
      </c>
      <c r="J45" s="93" t="n">
        <f aca="false">F45+G45-H45-I45</f>
        <v>167216</v>
      </c>
      <c r="K45" s="93" t="n">
        <f aca="false">K44+J45</f>
        <v>6224580</v>
      </c>
      <c r="L45" s="93" t="n">
        <f aca="false">MAX(前提条件!$C$94-K45,0)</f>
        <v>0</v>
      </c>
      <c r="M45" s="34" t="n">
        <f aca="false">前提条件!$C$10</f>
        <v>37500</v>
      </c>
      <c r="N45" s="93" t="n">
        <f aca="false">J45-M45-R45-S45</f>
        <v>125549.333333333</v>
      </c>
      <c r="O45" s="93" t="n">
        <f aca="false">O44+N45</f>
        <v>4641246.66666667</v>
      </c>
      <c r="P45" s="93" t="n">
        <f aca="false">前提条件!$C$8-SUM(M$8:M45)+IF(前提条件!$C$86&lt;3,前提条件!$C$85-SUM(R$8:R45),0)</f>
        <v>3416666.66666667</v>
      </c>
      <c r="Q45" s="94" t="str">
        <f aca="false">IF(AND(K45&gt;=前提条件!$C$94,K44&lt;前提条件!$C$94),"◀投資回収","")</f>
        <v/>
      </c>
      <c r="R45" s="34" t="n">
        <f aca="false">IF(A45&lt;=前提条件!$C$89*12,前提条件!$C$90,0)</f>
        <v>4166.66666666667</v>
      </c>
      <c r="S45" s="34" t="n">
        <f aca="false">IF(A45=1,前提条件!$C$91,0)</f>
        <v>0</v>
      </c>
    </row>
    <row r="46" customFormat="false" ht="15" hidden="false" customHeight="false" outlineLevel="0" collapsed="false">
      <c r="A46" s="88" t="n">
        <v>39</v>
      </c>
      <c r="B46" s="89" t="n">
        <f aca="false">EDATE(前提条件!$C$11,A46-1)</f>
        <v>47574</v>
      </c>
      <c r="C46" s="90" t="n">
        <f aca="false">YEAR(B46)+IF(MONTH(B46)&gt;=7,1,0)-2027+48</f>
        <v>51</v>
      </c>
      <c r="D46" s="91" t="n">
        <f aca="false">前提条件!$C$26/365*DAY(EOMONTH(B46,0))</f>
        <v>30</v>
      </c>
      <c r="E46" s="92" t="n">
        <v>1</v>
      </c>
      <c r="F46" s="34" t="n">
        <f aca="false">前提条件!$C$64*D46*E46</f>
        <v>172500</v>
      </c>
      <c r="G46" s="34" t="n">
        <f aca="false">前提条件!$C$65*D46*E46</f>
        <v>2880</v>
      </c>
      <c r="H46" s="34" t="n">
        <f aca="false">(前提条件!$C$66+前提条件!$C$67)*D46</f>
        <v>6300</v>
      </c>
      <c r="I46" s="34" t="n">
        <f aca="false">前提条件!$C$74/12</f>
        <v>7500</v>
      </c>
      <c r="J46" s="93" t="n">
        <f aca="false">F46+G46-H46-I46</f>
        <v>161580</v>
      </c>
      <c r="K46" s="93" t="n">
        <f aca="false">K45+J46</f>
        <v>6386160</v>
      </c>
      <c r="L46" s="93" t="n">
        <f aca="false">MAX(前提条件!$C$94-K46,0)</f>
        <v>0</v>
      </c>
      <c r="M46" s="34" t="n">
        <f aca="false">前提条件!$C$10</f>
        <v>37500</v>
      </c>
      <c r="N46" s="93" t="n">
        <f aca="false">J46-M46-R46-S46</f>
        <v>119913.333333333</v>
      </c>
      <c r="O46" s="93" t="n">
        <f aca="false">O45+N46</f>
        <v>4761160</v>
      </c>
      <c r="P46" s="93" t="n">
        <f aca="false">前提条件!$C$8-SUM(M$8:M46)+IF(前提条件!$C$86&lt;3,前提条件!$C$85-SUM(R$8:R46),0)</f>
        <v>3375000</v>
      </c>
      <c r="Q46" s="94" t="str">
        <f aca="false">IF(AND(K46&gt;=前提条件!$C$94,K45&lt;前提条件!$C$94),"◀投資回収","")</f>
        <v/>
      </c>
      <c r="R46" s="34" t="n">
        <f aca="false">IF(A46&lt;=前提条件!$C$89*12,前提条件!$C$90,0)</f>
        <v>4166.66666666667</v>
      </c>
      <c r="S46" s="34" t="n">
        <f aca="false">IF(A46=1,前提条件!$C$91,0)</f>
        <v>0</v>
      </c>
    </row>
    <row r="47" customFormat="false" ht="15" hidden="false" customHeight="false" outlineLevel="0" collapsed="false">
      <c r="A47" s="88" t="n">
        <v>40</v>
      </c>
      <c r="B47" s="89" t="n">
        <f aca="false">EDATE(前提条件!$C$11,A47-1)</f>
        <v>47604</v>
      </c>
      <c r="C47" s="90" t="n">
        <f aca="false">YEAR(B47)+IF(MONTH(B47)&gt;=7,1,0)-2027+48</f>
        <v>51</v>
      </c>
      <c r="D47" s="91" t="n">
        <f aca="false">前提条件!$C$26/365*DAY(EOMONTH(B47,0))</f>
        <v>31</v>
      </c>
      <c r="E47" s="92" t="n">
        <v>1</v>
      </c>
      <c r="F47" s="34" t="n">
        <f aca="false">前提条件!$C$64*D47*E47</f>
        <v>178250</v>
      </c>
      <c r="G47" s="34" t="n">
        <f aca="false">前提条件!$C$65*D47*E47</f>
        <v>2976</v>
      </c>
      <c r="H47" s="34" t="n">
        <f aca="false">(前提条件!$C$66+前提条件!$C$67)*D47</f>
        <v>6510</v>
      </c>
      <c r="I47" s="34" t="n">
        <f aca="false">前提条件!$C$74/12</f>
        <v>7500</v>
      </c>
      <c r="J47" s="93" t="n">
        <f aca="false">F47+G47-H47-I47</f>
        <v>167216</v>
      </c>
      <c r="K47" s="93" t="n">
        <f aca="false">K46+J47</f>
        <v>6553376</v>
      </c>
      <c r="L47" s="93" t="n">
        <f aca="false">MAX(前提条件!$C$94-K47,0)</f>
        <v>0</v>
      </c>
      <c r="M47" s="34" t="n">
        <f aca="false">前提条件!$C$10</f>
        <v>37500</v>
      </c>
      <c r="N47" s="93" t="n">
        <f aca="false">J47-M47-R47-S47</f>
        <v>125549.333333333</v>
      </c>
      <c r="O47" s="93" t="n">
        <f aca="false">O46+N47</f>
        <v>4886709.33333333</v>
      </c>
      <c r="P47" s="93" t="n">
        <f aca="false">前提条件!$C$8-SUM(M$8:M47)+IF(前提条件!$C$86&lt;3,前提条件!$C$85-SUM(R$8:R47),0)</f>
        <v>3333333.33333333</v>
      </c>
      <c r="Q47" s="94" t="str">
        <f aca="false">IF(AND(K47&gt;=前提条件!$C$94,K46&lt;前提条件!$C$94),"◀投資回収","")</f>
        <v/>
      </c>
      <c r="R47" s="34" t="n">
        <f aca="false">IF(A47&lt;=前提条件!$C$89*12,前提条件!$C$90,0)</f>
        <v>4166.66666666667</v>
      </c>
      <c r="S47" s="34" t="n">
        <f aca="false">IF(A47=1,前提条件!$C$91,0)</f>
        <v>0</v>
      </c>
    </row>
    <row r="48" customFormat="false" ht="15" hidden="false" customHeight="false" outlineLevel="0" collapsed="false">
      <c r="A48" s="88" t="n">
        <v>41</v>
      </c>
      <c r="B48" s="89" t="n">
        <f aca="false">EDATE(前提条件!$C$11,A48-1)</f>
        <v>47635</v>
      </c>
      <c r="C48" s="90" t="n">
        <f aca="false">YEAR(B48)+IF(MONTH(B48)&gt;=7,1,0)-2027+48</f>
        <v>51</v>
      </c>
      <c r="D48" s="91" t="n">
        <f aca="false">前提条件!$C$26/365*DAY(EOMONTH(B48,0))</f>
        <v>30</v>
      </c>
      <c r="E48" s="92" t="n">
        <v>1</v>
      </c>
      <c r="F48" s="34" t="n">
        <f aca="false">前提条件!$C$64*D48*E48</f>
        <v>172500</v>
      </c>
      <c r="G48" s="34" t="n">
        <f aca="false">前提条件!$C$65*D48*E48</f>
        <v>2880</v>
      </c>
      <c r="H48" s="34" t="n">
        <f aca="false">(前提条件!$C$66+前提条件!$C$67)*D48</f>
        <v>6300</v>
      </c>
      <c r="I48" s="34" t="n">
        <f aca="false">前提条件!$C$74/12</f>
        <v>7500</v>
      </c>
      <c r="J48" s="93" t="n">
        <f aca="false">F48+G48-H48-I48</f>
        <v>161580</v>
      </c>
      <c r="K48" s="93" t="n">
        <f aca="false">K47+J48</f>
        <v>6714956</v>
      </c>
      <c r="L48" s="93" t="n">
        <f aca="false">MAX(前提条件!$C$94-K48,0)</f>
        <v>0</v>
      </c>
      <c r="M48" s="34" t="n">
        <f aca="false">前提条件!$C$10</f>
        <v>37500</v>
      </c>
      <c r="N48" s="93" t="n">
        <f aca="false">J48-M48-R48-S48</f>
        <v>119913.333333333</v>
      </c>
      <c r="O48" s="93" t="n">
        <f aca="false">O47+N48</f>
        <v>5006622.66666667</v>
      </c>
      <c r="P48" s="93" t="n">
        <f aca="false">前提条件!$C$8-SUM(M$8:M48)+IF(前提条件!$C$86&lt;3,前提条件!$C$85-SUM(R$8:R48),0)</f>
        <v>3291666.66666667</v>
      </c>
      <c r="Q48" s="94" t="str">
        <f aca="false">IF(AND(K48&gt;=前提条件!$C$94,K47&lt;前提条件!$C$94),"◀投資回収","")</f>
        <v/>
      </c>
      <c r="R48" s="34" t="n">
        <f aca="false">IF(A48&lt;=前提条件!$C$89*12,前提条件!$C$90,0)</f>
        <v>4166.66666666667</v>
      </c>
      <c r="S48" s="34" t="n">
        <f aca="false">IF(A48=1,前提条件!$C$91,0)</f>
        <v>0</v>
      </c>
    </row>
    <row r="49" customFormat="false" ht="15" hidden="false" customHeight="false" outlineLevel="0" collapsed="false">
      <c r="A49" s="88" t="n">
        <v>42</v>
      </c>
      <c r="B49" s="89" t="n">
        <f aca="false">EDATE(前提条件!$C$11,A49-1)</f>
        <v>47665</v>
      </c>
      <c r="C49" s="90" t="n">
        <f aca="false">YEAR(B49)+IF(MONTH(B49)&gt;=7,1,0)-2027+48</f>
        <v>52</v>
      </c>
      <c r="D49" s="91" t="n">
        <f aca="false">前提条件!$C$26/365*DAY(EOMONTH(B49,0))</f>
        <v>31</v>
      </c>
      <c r="E49" s="92" t="n">
        <v>1</v>
      </c>
      <c r="F49" s="34" t="n">
        <f aca="false">前提条件!$C$64*D49*E49</f>
        <v>178250</v>
      </c>
      <c r="G49" s="34" t="n">
        <f aca="false">前提条件!$C$65*D49*E49</f>
        <v>2976</v>
      </c>
      <c r="H49" s="34" t="n">
        <f aca="false">(前提条件!$C$66+前提条件!$C$67)*D49</f>
        <v>6510</v>
      </c>
      <c r="I49" s="34" t="n">
        <f aca="false">前提条件!$C$74/12</f>
        <v>7500</v>
      </c>
      <c r="J49" s="93" t="n">
        <f aca="false">F49+G49-H49-I49</f>
        <v>167216</v>
      </c>
      <c r="K49" s="93" t="n">
        <f aca="false">K48+J49</f>
        <v>6882172</v>
      </c>
      <c r="L49" s="93" t="n">
        <f aca="false">MAX(前提条件!$C$94-K49,0)</f>
        <v>0</v>
      </c>
      <c r="M49" s="34" t="n">
        <f aca="false">前提条件!$C$10</f>
        <v>37500</v>
      </c>
      <c r="N49" s="93" t="n">
        <f aca="false">J49-M49-R49-S49</f>
        <v>125549.333333333</v>
      </c>
      <c r="O49" s="93" t="n">
        <f aca="false">O48+N49</f>
        <v>5132172</v>
      </c>
      <c r="P49" s="93" t="n">
        <f aca="false">前提条件!$C$8-SUM(M$8:M49)+IF(前提条件!$C$86&lt;3,前提条件!$C$85-SUM(R$8:R49),0)</f>
        <v>3250000</v>
      </c>
      <c r="Q49" s="94" t="str">
        <f aca="false">IF(AND(K49&gt;=前提条件!$C$94,K48&lt;前提条件!$C$94),"◀投資回収","")</f>
        <v/>
      </c>
      <c r="R49" s="34" t="n">
        <f aca="false">IF(A49&lt;=前提条件!$C$89*12,前提条件!$C$90,0)</f>
        <v>4166.66666666667</v>
      </c>
      <c r="S49" s="34" t="n">
        <f aca="false">IF(A49=1,前提条件!$C$91,0)</f>
        <v>0</v>
      </c>
    </row>
    <row r="50" customFormat="false" ht="15" hidden="false" customHeight="false" outlineLevel="0" collapsed="false">
      <c r="A50" s="88" t="n">
        <v>43</v>
      </c>
      <c r="B50" s="89" t="n">
        <f aca="false">EDATE(前提条件!$C$11,A50-1)</f>
        <v>47696</v>
      </c>
      <c r="C50" s="90" t="n">
        <f aca="false">YEAR(B50)+IF(MONTH(B50)&gt;=7,1,0)-2027+48</f>
        <v>52</v>
      </c>
      <c r="D50" s="91" t="n">
        <f aca="false">前提条件!$C$26/365*DAY(EOMONTH(B50,0))</f>
        <v>31</v>
      </c>
      <c r="E50" s="92" t="n">
        <v>1</v>
      </c>
      <c r="F50" s="34" t="n">
        <f aca="false">前提条件!$C$64*D50*E50</f>
        <v>178250</v>
      </c>
      <c r="G50" s="34" t="n">
        <f aca="false">前提条件!$C$65*D50*E50</f>
        <v>2976</v>
      </c>
      <c r="H50" s="34" t="n">
        <f aca="false">(前提条件!$C$66+前提条件!$C$67)*D50</f>
        <v>6510</v>
      </c>
      <c r="I50" s="34" t="n">
        <f aca="false">前提条件!$C$74/12</f>
        <v>7500</v>
      </c>
      <c r="J50" s="93" t="n">
        <f aca="false">F50+G50-H50-I50</f>
        <v>167216</v>
      </c>
      <c r="K50" s="93" t="n">
        <f aca="false">K49+J50</f>
        <v>7049388</v>
      </c>
      <c r="L50" s="93" t="n">
        <f aca="false">MAX(前提条件!$C$94-K50,0)</f>
        <v>0</v>
      </c>
      <c r="M50" s="34" t="n">
        <f aca="false">前提条件!$C$10</f>
        <v>37500</v>
      </c>
      <c r="N50" s="93" t="n">
        <f aca="false">J50-M50-R50-S50</f>
        <v>125549.333333333</v>
      </c>
      <c r="O50" s="93" t="n">
        <f aca="false">O49+N50</f>
        <v>5257721.33333333</v>
      </c>
      <c r="P50" s="93" t="n">
        <f aca="false">前提条件!$C$8-SUM(M$8:M50)+IF(前提条件!$C$86&lt;3,前提条件!$C$85-SUM(R$8:R50),0)</f>
        <v>3208333.33333333</v>
      </c>
      <c r="Q50" s="94" t="str">
        <f aca="false">IF(AND(K50&gt;=前提条件!$C$94,K49&lt;前提条件!$C$94),"◀投資回収","")</f>
        <v/>
      </c>
      <c r="R50" s="34" t="n">
        <f aca="false">IF(A50&lt;=前提条件!$C$89*12,前提条件!$C$90,0)</f>
        <v>4166.66666666667</v>
      </c>
      <c r="S50" s="34" t="n">
        <f aca="false">IF(A50=1,前提条件!$C$91,0)</f>
        <v>0</v>
      </c>
    </row>
    <row r="51" customFormat="false" ht="15" hidden="false" customHeight="false" outlineLevel="0" collapsed="false">
      <c r="A51" s="88" t="n">
        <v>44</v>
      </c>
      <c r="B51" s="89" t="n">
        <f aca="false">EDATE(前提条件!$C$11,A51-1)</f>
        <v>47727</v>
      </c>
      <c r="C51" s="90" t="n">
        <f aca="false">YEAR(B51)+IF(MONTH(B51)&gt;=7,1,0)-2027+48</f>
        <v>52</v>
      </c>
      <c r="D51" s="91" t="n">
        <f aca="false">前提条件!$C$26/365*DAY(EOMONTH(B51,0))</f>
        <v>30</v>
      </c>
      <c r="E51" s="92" t="n">
        <v>1</v>
      </c>
      <c r="F51" s="34" t="n">
        <f aca="false">前提条件!$C$64*D51*E51</f>
        <v>172500</v>
      </c>
      <c r="G51" s="34" t="n">
        <f aca="false">前提条件!$C$65*D51*E51</f>
        <v>2880</v>
      </c>
      <c r="H51" s="34" t="n">
        <f aca="false">(前提条件!$C$66+前提条件!$C$67)*D51</f>
        <v>6300</v>
      </c>
      <c r="I51" s="34" t="n">
        <f aca="false">前提条件!$C$74/12</f>
        <v>7500</v>
      </c>
      <c r="J51" s="93" t="n">
        <f aca="false">F51+G51-H51-I51</f>
        <v>161580</v>
      </c>
      <c r="K51" s="93" t="n">
        <f aca="false">K50+J51</f>
        <v>7210968</v>
      </c>
      <c r="L51" s="93" t="n">
        <f aca="false">MAX(前提条件!$C$94-K51,0)</f>
        <v>0</v>
      </c>
      <c r="M51" s="34" t="n">
        <f aca="false">前提条件!$C$10</f>
        <v>37500</v>
      </c>
      <c r="N51" s="93" t="n">
        <f aca="false">J51-M51-R51-S51</f>
        <v>119913.333333333</v>
      </c>
      <c r="O51" s="93" t="n">
        <f aca="false">O50+N51</f>
        <v>5377634.66666667</v>
      </c>
      <c r="P51" s="93" t="n">
        <f aca="false">前提条件!$C$8-SUM(M$8:M51)+IF(前提条件!$C$86&lt;3,前提条件!$C$85-SUM(R$8:R51),0)</f>
        <v>3166666.66666667</v>
      </c>
      <c r="Q51" s="94" t="str">
        <f aca="false">IF(AND(K51&gt;=前提条件!$C$94,K50&lt;前提条件!$C$94),"◀投資回収","")</f>
        <v/>
      </c>
      <c r="R51" s="34" t="n">
        <f aca="false">IF(A51&lt;=前提条件!$C$89*12,前提条件!$C$90,0)</f>
        <v>4166.66666666667</v>
      </c>
      <c r="S51" s="34" t="n">
        <f aca="false">IF(A51=1,前提条件!$C$91,0)</f>
        <v>0</v>
      </c>
    </row>
    <row r="52" customFormat="false" ht="15" hidden="false" customHeight="false" outlineLevel="0" collapsed="false">
      <c r="A52" s="88" t="n">
        <v>45</v>
      </c>
      <c r="B52" s="89" t="n">
        <f aca="false">EDATE(前提条件!$C$11,A52-1)</f>
        <v>47757</v>
      </c>
      <c r="C52" s="90" t="n">
        <f aca="false">YEAR(B52)+IF(MONTH(B52)&gt;=7,1,0)-2027+48</f>
        <v>52</v>
      </c>
      <c r="D52" s="91" t="n">
        <f aca="false">前提条件!$C$26/365*DAY(EOMONTH(B52,0))</f>
        <v>31</v>
      </c>
      <c r="E52" s="92" t="n">
        <v>1</v>
      </c>
      <c r="F52" s="34" t="n">
        <f aca="false">前提条件!$C$64*D52*E52</f>
        <v>178250</v>
      </c>
      <c r="G52" s="34" t="n">
        <f aca="false">前提条件!$C$65*D52*E52</f>
        <v>2976</v>
      </c>
      <c r="H52" s="34" t="n">
        <f aca="false">(前提条件!$C$66+前提条件!$C$67)*D52</f>
        <v>6510</v>
      </c>
      <c r="I52" s="34" t="n">
        <f aca="false">前提条件!$C$74/12</f>
        <v>7500</v>
      </c>
      <c r="J52" s="93" t="n">
        <f aca="false">F52+G52-H52-I52</f>
        <v>167216</v>
      </c>
      <c r="K52" s="93" t="n">
        <f aca="false">K51+J52</f>
        <v>7378184</v>
      </c>
      <c r="L52" s="93" t="n">
        <f aca="false">MAX(前提条件!$C$94-K52,0)</f>
        <v>0</v>
      </c>
      <c r="M52" s="34" t="n">
        <f aca="false">前提条件!$C$10</f>
        <v>37500</v>
      </c>
      <c r="N52" s="93" t="n">
        <f aca="false">J52-M52-R52-S52</f>
        <v>125549.333333333</v>
      </c>
      <c r="O52" s="93" t="n">
        <f aca="false">O51+N52</f>
        <v>5503184</v>
      </c>
      <c r="P52" s="93" t="n">
        <f aca="false">前提条件!$C$8-SUM(M$8:M52)+IF(前提条件!$C$86&lt;3,前提条件!$C$85-SUM(R$8:R52),0)</f>
        <v>3125000</v>
      </c>
      <c r="Q52" s="94" t="str">
        <f aca="false">IF(AND(K52&gt;=前提条件!$C$94,K51&lt;前提条件!$C$94),"◀投資回収","")</f>
        <v/>
      </c>
      <c r="R52" s="34" t="n">
        <f aca="false">IF(A52&lt;=前提条件!$C$89*12,前提条件!$C$90,0)</f>
        <v>4166.66666666667</v>
      </c>
      <c r="S52" s="34" t="n">
        <f aca="false">IF(A52=1,前提条件!$C$91,0)</f>
        <v>0</v>
      </c>
    </row>
    <row r="53" customFormat="false" ht="15" hidden="false" customHeight="false" outlineLevel="0" collapsed="false">
      <c r="A53" s="88" t="n">
        <v>46</v>
      </c>
      <c r="B53" s="89" t="n">
        <f aca="false">EDATE(前提条件!$C$11,A53-1)</f>
        <v>47788</v>
      </c>
      <c r="C53" s="90" t="n">
        <f aca="false">YEAR(B53)+IF(MONTH(B53)&gt;=7,1,0)-2027+48</f>
        <v>52</v>
      </c>
      <c r="D53" s="91" t="n">
        <f aca="false">前提条件!$C$26/365*DAY(EOMONTH(B53,0))</f>
        <v>30</v>
      </c>
      <c r="E53" s="92" t="n">
        <v>1</v>
      </c>
      <c r="F53" s="34" t="n">
        <f aca="false">前提条件!$C$64*D53*E53</f>
        <v>172500</v>
      </c>
      <c r="G53" s="34" t="n">
        <f aca="false">前提条件!$C$65*D53*E53</f>
        <v>2880</v>
      </c>
      <c r="H53" s="34" t="n">
        <f aca="false">(前提条件!$C$66+前提条件!$C$67)*D53</f>
        <v>6300</v>
      </c>
      <c r="I53" s="34" t="n">
        <f aca="false">前提条件!$C$74/12</f>
        <v>7500</v>
      </c>
      <c r="J53" s="93" t="n">
        <f aca="false">F53+G53-H53-I53</f>
        <v>161580</v>
      </c>
      <c r="K53" s="93" t="n">
        <f aca="false">K52+J53</f>
        <v>7539764</v>
      </c>
      <c r="L53" s="93" t="n">
        <f aca="false">MAX(前提条件!$C$94-K53,0)</f>
        <v>0</v>
      </c>
      <c r="M53" s="34" t="n">
        <f aca="false">前提条件!$C$10</f>
        <v>37500</v>
      </c>
      <c r="N53" s="93" t="n">
        <f aca="false">J53-M53-R53-S53</f>
        <v>119913.333333333</v>
      </c>
      <c r="O53" s="93" t="n">
        <f aca="false">O52+N53</f>
        <v>5623097.33333333</v>
      </c>
      <c r="P53" s="93" t="n">
        <f aca="false">前提条件!$C$8-SUM(M$8:M53)+IF(前提条件!$C$86&lt;3,前提条件!$C$85-SUM(R$8:R53),0)</f>
        <v>3083333.33333333</v>
      </c>
      <c r="Q53" s="94" t="str">
        <f aca="false">IF(AND(K53&gt;=前提条件!$C$94,K52&lt;前提条件!$C$94),"◀投資回収","")</f>
        <v/>
      </c>
      <c r="R53" s="34" t="n">
        <f aca="false">IF(A53&lt;=前提条件!$C$89*12,前提条件!$C$90,0)</f>
        <v>4166.66666666667</v>
      </c>
      <c r="S53" s="34" t="n">
        <f aca="false">IF(A53=1,前提条件!$C$91,0)</f>
        <v>0</v>
      </c>
    </row>
    <row r="54" customFormat="false" ht="15" hidden="false" customHeight="false" outlineLevel="0" collapsed="false">
      <c r="A54" s="88" t="n">
        <v>47</v>
      </c>
      <c r="B54" s="89" t="n">
        <f aca="false">EDATE(前提条件!$C$11,A54-1)</f>
        <v>47818</v>
      </c>
      <c r="C54" s="90" t="n">
        <f aca="false">YEAR(B54)+IF(MONTH(B54)&gt;=7,1,0)-2027+48</f>
        <v>52</v>
      </c>
      <c r="D54" s="91" t="n">
        <f aca="false">前提条件!$C$26/365*DAY(EOMONTH(B54,0))</f>
        <v>31</v>
      </c>
      <c r="E54" s="92" t="n">
        <v>1</v>
      </c>
      <c r="F54" s="34" t="n">
        <f aca="false">前提条件!$C$64*D54*E54</f>
        <v>178250</v>
      </c>
      <c r="G54" s="34" t="n">
        <f aca="false">前提条件!$C$65*D54*E54</f>
        <v>2976</v>
      </c>
      <c r="H54" s="34" t="n">
        <f aca="false">(前提条件!$C$66+前提条件!$C$67)*D54</f>
        <v>6510</v>
      </c>
      <c r="I54" s="34" t="n">
        <f aca="false">前提条件!$C$74/12</f>
        <v>7500</v>
      </c>
      <c r="J54" s="93" t="n">
        <f aca="false">F54+G54-H54-I54</f>
        <v>167216</v>
      </c>
      <c r="K54" s="93" t="n">
        <f aca="false">K53+J54</f>
        <v>7706980</v>
      </c>
      <c r="L54" s="93" t="n">
        <f aca="false">MAX(前提条件!$C$94-K54,0)</f>
        <v>0</v>
      </c>
      <c r="M54" s="34" t="n">
        <f aca="false">前提条件!$C$10</f>
        <v>37500</v>
      </c>
      <c r="N54" s="93" t="n">
        <f aca="false">J54-M54-R54-S54</f>
        <v>125549.333333333</v>
      </c>
      <c r="O54" s="93" t="n">
        <f aca="false">O53+N54</f>
        <v>5748646.66666667</v>
      </c>
      <c r="P54" s="93" t="n">
        <f aca="false">前提条件!$C$8-SUM(M$8:M54)+IF(前提条件!$C$86&lt;3,前提条件!$C$85-SUM(R$8:R54),0)</f>
        <v>3041666.66666667</v>
      </c>
      <c r="Q54" s="94" t="str">
        <f aca="false">IF(AND(K54&gt;=前提条件!$C$94,K53&lt;前提条件!$C$94),"◀投資回収","")</f>
        <v/>
      </c>
      <c r="R54" s="34" t="n">
        <f aca="false">IF(A54&lt;=前提条件!$C$89*12,前提条件!$C$90,0)</f>
        <v>4166.66666666667</v>
      </c>
      <c r="S54" s="34" t="n">
        <f aca="false">IF(A54=1,前提条件!$C$91,0)</f>
        <v>0</v>
      </c>
    </row>
    <row r="55" customFormat="false" ht="15" hidden="false" customHeight="false" outlineLevel="0" collapsed="false">
      <c r="A55" s="88" t="n">
        <v>48</v>
      </c>
      <c r="B55" s="89" t="n">
        <f aca="false">EDATE(前提条件!$C$11,A55-1)</f>
        <v>47849</v>
      </c>
      <c r="C55" s="90" t="n">
        <f aca="false">YEAR(B55)+IF(MONTH(B55)&gt;=7,1,0)-2027+48</f>
        <v>52</v>
      </c>
      <c r="D55" s="91" t="n">
        <f aca="false">前提条件!$C$26/365*DAY(EOMONTH(B55,0))</f>
        <v>31</v>
      </c>
      <c r="E55" s="92" t="n">
        <v>1</v>
      </c>
      <c r="F55" s="34" t="n">
        <f aca="false">前提条件!$C$64*D55*E55</f>
        <v>178250</v>
      </c>
      <c r="G55" s="34" t="n">
        <f aca="false">前提条件!$C$65*D55*E55</f>
        <v>2976</v>
      </c>
      <c r="H55" s="34" t="n">
        <f aca="false">(前提条件!$C$66+前提条件!$C$67)*D55</f>
        <v>6510</v>
      </c>
      <c r="I55" s="34" t="n">
        <f aca="false">前提条件!$C$74/12</f>
        <v>7500</v>
      </c>
      <c r="J55" s="93" t="n">
        <f aca="false">F55+G55-H55-I55</f>
        <v>167216</v>
      </c>
      <c r="K55" s="93" t="n">
        <f aca="false">K54+J55</f>
        <v>7874196</v>
      </c>
      <c r="L55" s="93" t="n">
        <f aca="false">MAX(前提条件!$C$94-K55,0)</f>
        <v>0</v>
      </c>
      <c r="M55" s="34" t="n">
        <f aca="false">前提条件!$C$10</f>
        <v>37500</v>
      </c>
      <c r="N55" s="93" t="n">
        <f aca="false">J55-M55-R55-S55</f>
        <v>125549.333333333</v>
      </c>
      <c r="O55" s="93" t="n">
        <f aca="false">O54+N55</f>
        <v>5874196</v>
      </c>
      <c r="P55" s="93" t="n">
        <f aca="false">前提条件!$C$8-SUM(M$8:M55)+IF(前提条件!$C$86&lt;3,前提条件!$C$85-SUM(R$8:R55),0)</f>
        <v>3000000</v>
      </c>
      <c r="Q55" s="94" t="str">
        <f aca="false">IF(AND(K55&gt;=前提条件!$C$94,K54&lt;前提条件!$C$94),"◀投資回収","")</f>
        <v/>
      </c>
      <c r="R55" s="34" t="n">
        <f aca="false">IF(A55&lt;=前提条件!$C$89*12,前提条件!$C$90,0)</f>
        <v>4166.66666666667</v>
      </c>
      <c r="S55" s="34" t="n">
        <f aca="false">IF(A55=1,前提条件!$C$91,0)</f>
        <v>0</v>
      </c>
    </row>
    <row r="56" customFormat="false" ht="15" hidden="false" customHeight="false" outlineLevel="0" collapsed="false">
      <c r="A56" s="88" t="n">
        <v>49</v>
      </c>
      <c r="B56" s="89" t="n">
        <f aca="false">EDATE(前提条件!$C$11,A56-1)</f>
        <v>47880</v>
      </c>
      <c r="C56" s="90" t="n">
        <f aca="false">YEAR(B56)+IF(MONTH(B56)&gt;=7,1,0)-2027+48</f>
        <v>52</v>
      </c>
      <c r="D56" s="91" t="n">
        <f aca="false">前提条件!$C$26/365*DAY(EOMONTH(B56,0))</f>
        <v>28</v>
      </c>
      <c r="E56" s="92" t="n">
        <v>1</v>
      </c>
      <c r="F56" s="34" t="n">
        <f aca="false">前提条件!$C$64*D56*E56</f>
        <v>161000</v>
      </c>
      <c r="G56" s="34" t="n">
        <f aca="false">前提条件!$C$65*D56*E56</f>
        <v>2688</v>
      </c>
      <c r="H56" s="34" t="n">
        <f aca="false">(前提条件!$C$66+前提条件!$C$67)*D56</f>
        <v>5880</v>
      </c>
      <c r="I56" s="34" t="n">
        <f aca="false">前提条件!$C$74/12</f>
        <v>7500</v>
      </c>
      <c r="J56" s="93" t="n">
        <f aca="false">F56+G56-H56-I56</f>
        <v>150308</v>
      </c>
      <c r="K56" s="93" t="n">
        <f aca="false">K55+J56</f>
        <v>8024504</v>
      </c>
      <c r="L56" s="93" t="n">
        <f aca="false">MAX(前提条件!$C$94-K56,0)</f>
        <v>0</v>
      </c>
      <c r="M56" s="34" t="n">
        <f aca="false">前提条件!$C$10</f>
        <v>37500</v>
      </c>
      <c r="N56" s="93" t="n">
        <f aca="false">J56-M56-R56-S56</f>
        <v>108641.333333333</v>
      </c>
      <c r="O56" s="93" t="n">
        <f aca="false">O55+N56</f>
        <v>5982837.33333333</v>
      </c>
      <c r="P56" s="93" t="n">
        <f aca="false">前提条件!$C$8-SUM(M$8:M56)+IF(前提条件!$C$86&lt;3,前提条件!$C$85-SUM(R$8:R56),0)</f>
        <v>2958333.33333333</v>
      </c>
      <c r="Q56" s="94" t="str">
        <f aca="false">IF(AND(K56&gt;=前提条件!$C$94,K55&lt;前提条件!$C$94),"◀投資回収","")</f>
        <v/>
      </c>
      <c r="R56" s="34" t="n">
        <f aca="false">IF(A56&lt;=前提条件!$C$89*12,前提条件!$C$90,0)</f>
        <v>4166.66666666667</v>
      </c>
      <c r="S56" s="34" t="n">
        <f aca="false">IF(A56=1,前提条件!$C$91,0)</f>
        <v>0</v>
      </c>
    </row>
    <row r="57" customFormat="false" ht="15" hidden="false" customHeight="false" outlineLevel="0" collapsed="false">
      <c r="A57" s="88" t="n">
        <v>50</v>
      </c>
      <c r="B57" s="89" t="n">
        <f aca="false">EDATE(前提条件!$C$11,A57-1)</f>
        <v>47908</v>
      </c>
      <c r="C57" s="90" t="n">
        <f aca="false">YEAR(B57)+IF(MONTH(B57)&gt;=7,1,0)-2027+48</f>
        <v>52</v>
      </c>
      <c r="D57" s="91" t="n">
        <f aca="false">前提条件!$C$26/365*DAY(EOMONTH(B57,0))</f>
        <v>31</v>
      </c>
      <c r="E57" s="92" t="n">
        <v>1</v>
      </c>
      <c r="F57" s="34" t="n">
        <f aca="false">前提条件!$C$64*D57*E57</f>
        <v>178250</v>
      </c>
      <c r="G57" s="34" t="n">
        <f aca="false">前提条件!$C$65*D57*E57</f>
        <v>2976</v>
      </c>
      <c r="H57" s="34" t="n">
        <f aca="false">(前提条件!$C$66+前提条件!$C$67)*D57</f>
        <v>6510</v>
      </c>
      <c r="I57" s="34" t="n">
        <f aca="false">前提条件!$C$74/12</f>
        <v>7500</v>
      </c>
      <c r="J57" s="93" t="n">
        <f aca="false">F57+G57-H57-I57</f>
        <v>167216</v>
      </c>
      <c r="K57" s="93" t="n">
        <f aca="false">K56+J57</f>
        <v>8191720</v>
      </c>
      <c r="L57" s="93" t="n">
        <f aca="false">MAX(前提条件!$C$94-K57,0)</f>
        <v>0</v>
      </c>
      <c r="M57" s="34" t="n">
        <f aca="false">前提条件!$C$10</f>
        <v>37500</v>
      </c>
      <c r="N57" s="93" t="n">
        <f aca="false">J57-M57-R57-S57</f>
        <v>125549.333333333</v>
      </c>
      <c r="O57" s="93" t="n">
        <f aca="false">O56+N57</f>
        <v>6108386.66666666</v>
      </c>
      <c r="P57" s="93" t="n">
        <f aca="false">前提条件!$C$8-SUM(M$8:M57)+IF(前提条件!$C$86&lt;3,前提条件!$C$85-SUM(R$8:R57),0)</f>
        <v>2916666.66666667</v>
      </c>
      <c r="Q57" s="94" t="str">
        <f aca="false">IF(AND(K57&gt;=前提条件!$C$94,K56&lt;前提条件!$C$94),"◀投資回収","")</f>
        <v/>
      </c>
      <c r="R57" s="34" t="n">
        <f aca="false">IF(A57&lt;=前提条件!$C$89*12,前提条件!$C$90,0)</f>
        <v>4166.66666666667</v>
      </c>
      <c r="S57" s="34" t="n">
        <f aca="false">IF(A57=1,前提条件!$C$91,0)</f>
        <v>0</v>
      </c>
    </row>
    <row r="58" customFormat="false" ht="15" hidden="false" customHeight="false" outlineLevel="0" collapsed="false">
      <c r="A58" s="88" t="n">
        <v>51</v>
      </c>
      <c r="B58" s="89" t="n">
        <f aca="false">EDATE(前提条件!$C$11,A58-1)</f>
        <v>47939</v>
      </c>
      <c r="C58" s="90" t="n">
        <f aca="false">YEAR(B58)+IF(MONTH(B58)&gt;=7,1,0)-2027+48</f>
        <v>52</v>
      </c>
      <c r="D58" s="91" t="n">
        <f aca="false">前提条件!$C$26/365*DAY(EOMONTH(B58,0))</f>
        <v>30</v>
      </c>
      <c r="E58" s="92" t="n">
        <v>1</v>
      </c>
      <c r="F58" s="34" t="n">
        <f aca="false">前提条件!$C$64*D58*E58</f>
        <v>172500</v>
      </c>
      <c r="G58" s="34" t="n">
        <f aca="false">前提条件!$C$65*D58*E58</f>
        <v>2880</v>
      </c>
      <c r="H58" s="34" t="n">
        <f aca="false">(前提条件!$C$66+前提条件!$C$67)*D58</f>
        <v>6300</v>
      </c>
      <c r="I58" s="34" t="n">
        <f aca="false">前提条件!$C$74/12</f>
        <v>7500</v>
      </c>
      <c r="J58" s="93" t="n">
        <f aca="false">F58+G58-H58-I58</f>
        <v>161580</v>
      </c>
      <c r="K58" s="93" t="n">
        <f aca="false">K57+J58</f>
        <v>8353300</v>
      </c>
      <c r="L58" s="93" t="n">
        <f aca="false">MAX(前提条件!$C$94-K58,0)</f>
        <v>0</v>
      </c>
      <c r="M58" s="34" t="n">
        <f aca="false">前提条件!$C$10</f>
        <v>37500</v>
      </c>
      <c r="N58" s="93" t="n">
        <f aca="false">J58-M58-R58-S58</f>
        <v>119913.333333333</v>
      </c>
      <c r="O58" s="93" t="n">
        <f aca="false">O57+N58</f>
        <v>6228300</v>
      </c>
      <c r="P58" s="93" t="n">
        <f aca="false">前提条件!$C$8-SUM(M$8:M58)+IF(前提条件!$C$86&lt;3,前提条件!$C$85-SUM(R$8:R58),0)</f>
        <v>2875000</v>
      </c>
      <c r="Q58" s="94" t="str">
        <f aca="false">IF(AND(K58&gt;=前提条件!$C$94,K57&lt;前提条件!$C$94),"◀投資回収","")</f>
        <v/>
      </c>
      <c r="R58" s="34" t="n">
        <f aca="false">IF(A58&lt;=前提条件!$C$89*12,前提条件!$C$90,0)</f>
        <v>4166.66666666667</v>
      </c>
      <c r="S58" s="34" t="n">
        <f aca="false">IF(A58=1,前提条件!$C$91,0)</f>
        <v>0</v>
      </c>
    </row>
    <row r="59" customFormat="false" ht="15" hidden="false" customHeight="false" outlineLevel="0" collapsed="false">
      <c r="A59" s="88" t="n">
        <v>52</v>
      </c>
      <c r="B59" s="89" t="n">
        <f aca="false">EDATE(前提条件!$C$11,A59-1)</f>
        <v>47969</v>
      </c>
      <c r="C59" s="90" t="n">
        <f aca="false">YEAR(B59)+IF(MONTH(B59)&gt;=7,1,0)-2027+48</f>
        <v>52</v>
      </c>
      <c r="D59" s="91" t="n">
        <f aca="false">前提条件!$C$26/365*DAY(EOMONTH(B59,0))</f>
        <v>31</v>
      </c>
      <c r="E59" s="92" t="n">
        <v>1</v>
      </c>
      <c r="F59" s="34" t="n">
        <f aca="false">前提条件!$C$64*D59*E59</f>
        <v>178250</v>
      </c>
      <c r="G59" s="34" t="n">
        <f aca="false">前提条件!$C$65*D59*E59</f>
        <v>2976</v>
      </c>
      <c r="H59" s="34" t="n">
        <f aca="false">(前提条件!$C$66+前提条件!$C$67)*D59</f>
        <v>6510</v>
      </c>
      <c r="I59" s="34" t="n">
        <f aca="false">前提条件!$C$74/12</f>
        <v>7500</v>
      </c>
      <c r="J59" s="93" t="n">
        <f aca="false">F59+G59-H59-I59</f>
        <v>167216</v>
      </c>
      <c r="K59" s="93" t="n">
        <f aca="false">K58+J59</f>
        <v>8520516</v>
      </c>
      <c r="L59" s="93" t="n">
        <f aca="false">MAX(前提条件!$C$94-K59,0)</f>
        <v>0</v>
      </c>
      <c r="M59" s="34" t="n">
        <f aca="false">前提条件!$C$10</f>
        <v>37500</v>
      </c>
      <c r="N59" s="93" t="n">
        <f aca="false">J59-M59-R59-S59</f>
        <v>125549.333333333</v>
      </c>
      <c r="O59" s="93" t="n">
        <f aca="false">O58+N59</f>
        <v>6353849.33333333</v>
      </c>
      <c r="P59" s="93" t="n">
        <f aca="false">前提条件!$C$8-SUM(M$8:M59)+IF(前提条件!$C$86&lt;3,前提条件!$C$85-SUM(R$8:R59),0)</f>
        <v>2833333.33333333</v>
      </c>
      <c r="Q59" s="94" t="str">
        <f aca="false">IF(AND(K59&gt;=前提条件!$C$94,K58&lt;前提条件!$C$94),"◀投資回収","")</f>
        <v/>
      </c>
      <c r="R59" s="34" t="n">
        <f aca="false">IF(A59&lt;=前提条件!$C$89*12,前提条件!$C$90,0)</f>
        <v>4166.66666666667</v>
      </c>
      <c r="S59" s="34" t="n">
        <f aca="false">IF(A59=1,前提条件!$C$91,0)</f>
        <v>0</v>
      </c>
    </row>
    <row r="60" customFormat="false" ht="15" hidden="false" customHeight="false" outlineLevel="0" collapsed="false">
      <c r="A60" s="88" t="n">
        <v>53</v>
      </c>
      <c r="B60" s="89" t="n">
        <f aca="false">EDATE(前提条件!$C$11,A60-1)</f>
        <v>48000</v>
      </c>
      <c r="C60" s="90" t="n">
        <f aca="false">YEAR(B60)+IF(MONTH(B60)&gt;=7,1,0)-2027+48</f>
        <v>52</v>
      </c>
      <c r="D60" s="91" t="n">
        <f aca="false">前提条件!$C$26/365*DAY(EOMONTH(B60,0))</f>
        <v>30</v>
      </c>
      <c r="E60" s="92" t="n">
        <v>1</v>
      </c>
      <c r="F60" s="34" t="n">
        <f aca="false">前提条件!$C$64*D60*E60</f>
        <v>172500</v>
      </c>
      <c r="G60" s="34" t="n">
        <f aca="false">前提条件!$C$65*D60*E60</f>
        <v>2880</v>
      </c>
      <c r="H60" s="34" t="n">
        <f aca="false">(前提条件!$C$66+前提条件!$C$67)*D60</f>
        <v>6300</v>
      </c>
      <c r="I60" s="34" t="n">
        <f aca="false">前提条件!$C$74/12</f>
        <v>7500</v>
      </c>
      <c r="J60" s="93" t="n">
        <f aca="false">F60+G60-H60-I60</f>
        <v>161580</v>
      </c>
      <c r="K60" s="93" t="n">
        <f aca="false">K59+J60</f>
        <v>8682096</v>
      </c>
      <c r="L60" s="93" t="n">
        <f aca="false">MAX(前提条件!$C$94-K60,0)</f>
        <v>0</v>
      </c>
      <c r="M60" s="34" t="n">
        <f aca="false">前提条件!$C$10</f>
        <v>37500</v>
      </c>
      <c r="N60" s="93" t="n">
        <f aca="false">J60-M60-R60-S60</f>
        <v>119913.333333333</v>
      </c>
      <c r="O60" s="93" t="n">
        <f aca="false">O59+N60</f>
        <v>6473762.66666666</v>
      </c>
      <c r="P60" s="93" t="n">
        <f aca="false">前提条件!$C$8-SUM(M$8:M60)+IF(前提条件!$C$86&lt;3,前提条件!$C$85-SUM(R$8:R60),0)</f>
        <v>2791666.66666667</v>
      </c>
      <c r="Q60" s="94" t="str">
        <f aca="false">IF(AND(K60&gt;=前提条件!$C$94,K59&lt;前提条件!$C$94),"◀投資回収","")</f>
        <v/>
      </c>
      <c r="R60" s="34" t="n">
        <f aca="false">IF(A60&lt;=前提条件!$C$89*12,前提条件!$C$90,0)</f>
        <v>4166.66666666667</v>
      </c>
      <c r="S60" s="34" t="n">
        <f aca="false">IF(A60=1,前提条件!$C$91,0)</f>
        <v>0</v>
      </c>
    </row>
    <row r="61" customFormat="false" ht="15" hidden="false" customHeight="false" outlineLevel="0" collapsed="false">
      <c r="A61" s="88" t="n">
        <v>54</v>
      </c>
      <c r="B61" s="89" t="n">
        <f aca="false">EDATE(前提条件!$C$11,A61-1)</f>
        <v>48030</v>
      </c>
      <c r="C61" s="90" t="n">
        <f aca="false">YEAR(B61)+IF(MONTH(B61)&gt;=7,1,0)-2027+48</f>
        <v>53</v>
      </c>
      <c r="D61" s="91" t="n">
        <f aca="false">前提条件!$C$26/365*DAY(EOMONTH(B61,0))</f>
        <v>31</v>
      </c>
      <c r="E61" s="92" t="n">
        <v>1</v>
      </c>
      <c r="F61" s="34" t="n">
        <f aca="false">前提条件!$C$64*D61*E61</f>
        <v>178250</v>
      </c>
      <c r="G61" s="34" t="n">
        <f aca="false">前提条件!$C$65*D61*E61</f>
        <v>2976</v>
      </c>
      <c r="H61" s="34" t="n">
        <f aca="false">(前提条件!$C$66+前提条件!$C$67)*D61</f>
        <v>6510</v>
      </c>
      <c r="I61" s="34" t="n">
        <f aca="false">前提条件!$C$74/12</f>
        <v>7500</v>
      </c>
      <c r="J61" s="93" t="n">
        <f aca="false">F61+G61-H61-I61</f>
        <v>167216</v>
      </c>
      <c r="K61" s="93" t="n">
        <f aca="false">K60+J61</f>
        <v>8849312</v>
      </c>
      <c r="L61" s="93" t="n">
        <f aca="false">MAX(前提条件!$C$94-K61,0)</f>
        <v>0</v>
      </c>
      <c r="M61" s="34" t="n">
        <f aca="false">前提条件!$C$10</f>
        <v>37500</v>
      </c>
      <c r="N61" s="93" t="n">
        <f aca="false">J61-M61-R61-S61</f>
        <v>125549.333333333</v>
      </c>
      <c r="O61" s="93" t="n">
        <f aca="false">O60+N61</f>
        <v>6599312</v>
      </c>
      <c r="P61" s="93" t="n">
        <f aca="false">前提条件!$C$8-SUM(M$8:M61)+IF(前提条件!$C$86&lt;3,前提条件!$C$85-SUM(R$8:R61),0)</f>
        <v>2750000</v>
      </c>
      <c r="Q61" s="94" t="str">
        <f aca="false">IF(AND(K61&gt;=前提条件!$C$94,K60&lt;前提条件!$C$94),"◀投資回収","")</f>
        <v/>
      </c>
      <c r="R61" s="34" t="n">
        <f aca="false">IF(A61&lt;=前提条件!$C$89*12,前提条件!$C$90,0)</f>
        <v>4166.66666666667</v>
      </c>
      <c r="S61" s="34" t="n">
        <f aca="false">IF(A61=1,前提条件!$C$91,0)</f>
        <v>0</v>
      </c>
    </row>
    <row r="62" customFormat="false" ht="15" hidden="false" customHeight="false" outlineLevel="0" collapsed="false">
      <c r="A62" s="88" t="n">
        <v>55</v>
      </c>
      <c r="B62" s="89" t="n">
        <f aca="false">EDATE(前提条件!$C$11,A62-1)</f>
        <v>48061</v>
      </c>
      <c r="C62" s="90" t="n">
        <f aca="false">YEAR(B62)+IF(MONTH(B62)&gt;=7,1,0)-2027+48</f>
        <v>53</v>
      </c>
      <c r="D62" s="91" t="n">
        <f aca="false">前提条件!$C$26/365*DAY(EOMONTH(B62,0))</f>
        <v>31</v>
      </c>
      <c r="E62" s="92" t="n">
        <v>1</v>
      </c>
      <c r="F62" s="34" t="n">
        <f aca="false">前提条件!$C$64*D62*E62</f>
        <v>178250</v>
      </c>
      <c r="G62" s="34" t="n">
        <f aca="false">前提条件!$C$65*D62*E62</f>
        <v>2976</v>
      </c>
      <c r="H62" s="34" t="n">
        <f aca="false">(前提条件!$C$66+前提条件!$C$67)*D62</f>
        <v>6510</v>
      </c>
      <c r="I62" s="34" t="n">
        <f aca="false">前提条件!$C$74/12</f>
        <v>7500</v>
      </c>
      <c r="J62" s="93" t="n">
        <f aca="false">F62+G62-H62-I62</f>
        <v>167216</v>
      </c>
      <c r="K62" s="93" t="n">
        <f aca="false">K61+J62</f>
        <v>9016528</v>
      </c>
      <c r="L62" s="93" t="n">
        <f aca="false">MAX(前提条件!$C$94-K62,0)</f>
        <v>0</v>
      </c>
      <c r="M62" s="34" t="n">
        <f aca="false">前提条件!$C$10</f>
        <v>37500</v>
      </c>
      <c r="N62" s="93" t="n">
        <f aca="false">J62-M62-R62-S62</f>
        <v>125549.333333333</v>
      </c>
      <c r="O62" s="93" t="n">
        <f aca="false">O61+N62</f>
        <v>6724861.33333333</v>
      </c>
      <c r="P62" s="93" t="n">
        <f aca="false">前提条件!$C$8-SUM(M$8:M62)+IF(前提条件!$C$86&lt;3,前提条件!$C$85-SUM(R$8:R62),0)</f>
        <v>2708333.33333333</v>
      </c>
      <c r="Q62" s="94" t="str">
        <f aca="false">IF(AND(K62&gt;=前提条件!$C$94,K61&lt;前提条件!$C$94),"◀投資回収","")</f>
        <v/>
      </c>
      <c r="R62" s="34" t="n">
        <f aca="false">IF(A62&lt;=前提条件!$C$89*12,前提条件!$C$90,0)</f>
        <v>4166.66666666667</v>
      </c>
      <c r="S62" s="34" t="n">
        <f aca="false">IF(A62=1,前提条件!$C$91,0)</f>
        <v>0</v>
      </c>
    </row>
    <row r="63" customFormat="false" ht="15" hidden="false" customHeight="false" outlineLevel="0" collapsed="false">
      <c r="A63" s="88" t="n">
        <v>56</v>
      </c>
      <c r="B63" s="89" t="n">
        <f aca="false">EDATE(前提条件!$C$11,A63-1)</f>
        <v>48092</v>
      </c>
      <c r="C63" s="90" t="n">
        <f aca="false">YEAR(B63)+IF(MONTH(B63)&gt;=7,1,0)-2027+48</f>
        <v>53</v>
      </c>
      <c r="D63" s="91" t="n">
        <f aca="false">前提条件!$C$26/365*DAY(EOMONTH(B63,0))</f>
        <v>30</v>
      </c>
      <c r="E63" s="92" t="n">
        <v>1</v>
      </c>
      <c r="F63" s="34" t="n">
        <f aca="false">前提条件!$C$64*D63*E63</f>
        <v>172500</v>
      </c>
      <c r="G63" s="34" t="n">
        <f aca="false">前提条件!$C$65*D63*E63</f>
        <v>2880</v>
      </c>
      <c r="H63" s="34" t="n">
        <f aca="false">(前提条件!$C$66+前提条件!$C$67)*D63</f>
        <v>6300</v>
      </c>
      <c r="I63" s="34" t="n">
        <f aca="false">前提条件!$C$74/12</f>
        <v>7500</v>
      </c>
      <c r="J63" s="93" t="n">
        <f aca="false">F63+G63-H63-I63</f>
        <v>161580</v>
      </c>
      <c r="K63" s="93" t="n">
        <f aca="false">K62+J63</f>
        <v>9178108</v>
      </c>
      <c r="L63" s="93" t="n">
        <f aca="false">MAX(前提条件!$C$94-K63,0)</f>
        <v>0</v>
      </c>
      <c r="M63" s="34" t="n">
        <f aca="false">前提条件!$C$10</f>
        <v>37500</v>
      </c>
      <c r="N63" s="93" t="n">
        <f aca="false">J63-M63-R63-S63</f>
        <v>119913.333333333</v>
      </c>
      <c r="O63" s="93" t="n">
        <f aca="false">O62+N63</f>
        <v>6844774.66666666</v>
      </c>
      <c r="P63" s="93" t="n">
        <f aca="false">前提条件!$C$8-SUM(M$8:M63)+IF(前提条件!$C$86&lt;3,前提条件!$C$85-SUM(R$8:R63),0)</f>
        <v>2666666.66666667</v>
      </c>
      <c r="Q63" s="94" t="str">
        <f aca="false">IF(AND(K63&gt;=前提条件!$C$94,K62&lt;前提条件!$C$94),"◀投資回収","")</f>
        <v/>
      </c>
      <c r="R63" s="34" t="n">
        <f aca="false">IF(A63&lt;=前提条件!$C$89*12,前提条件!$C$90,0)</f>
        <v>4166.66666666667</v>
      </c>
      <c r="S63" s="34" t="n">
        <f aca="false">IF(A63=1,前提条件!$C$91,0)</f>
        <v>0</v>
      </c>
    </row>
    <row r="64" customFormat="false" ht="15" hidden="false" customHeight="false" outlineLevel="0" collapsed="false">
      <c r="A64" s="88" t="n">
        <v>57</v>
      </c>
      <c r="B64" s="89" t="n">
        <f aca="false">EDATE(前提条件!$C$11,A64-1)</f>
        <v>48122</v>
      </c>
      <c r="C64" s="90" t="n">
        <f aca="false">YEAR(B64)+IF(MONTH(B64)&gt;=7,1,0)-2027+48</f>
        <v>53</v>
      </c>
      <c r="D64" s="91" t="n">
        <f aca="false">前提条件!$C$26/365*DAY(EOMONTH(B64,0))</f>
        <v>31</v>
      </c>
      <c r="E64" s="92" t="n">
        <v>1</v>
      </c>
      <c r="F64" s="34" t="n">
        <f aca="false">前提条件!$C$64*D64*E64</f>
        <v>178250</v>
      </c>
      <c r="G64" s="34" t="n">
        <f aca="false">前提条件!$C$65*D64*E64</f>
        <v>2976</v>
      </c>
      <c r="H64" s="34" t="n">
        <f aca="false">(前提条件!$C$66+前提条件!$C$67)*D64</f>
        <v>6510</v>
      </c>
      <c r="I64" s="34" t="n">
        <f aca="false">前提条件!$C$74/12</f>
        <v>7500</v>
      </c>
      <c r="J64" s="93" t="n">
        <f aca="false">F64+G64-H64-I64</f>
        <v>167216</v>
      </c>
      <c r="K64" s="93" t="n">
        <f aca="false">K63+J64</f>
        <v>9345324</v>
      </c>
      <c r="L64" s="93" t="n">
        <f aca="false">MAX(前提条件!$C$94-K64,0)</f>
        <v>0</v>
      </c>
      <c r="M64" s="34" t="n">
        <f aca="false">前提条件!$C$10</f>
        <v>37500</v>
      </c>
      <c r="N64" s="93" t="n">
        <f aca="false">J64-M64-R64-S64</f>
        <v>125549.333333333</v>
      </c>
      <c r="O64" s="93" t="n">
        <f aca="false">O63+N64</f>
        <v>6970324</v>
      </c>
      <c r="P64" s="93" t="n">
        <f aca="false">前提条件!$C$8-SUM(M$8:M64)+IF(前提条件!$C$86&lt;3,前提条件!$C$85-SUM(R$8:R64),0)</f>
        <v>2625000</v>
      </c>
      <c r="Q64" s="94" t="str">
        <f aca="false">IF(AND(K64&gt;=前提条件!$C$94,K63&lt;前提条件!$C$94),"◀投資回収","")</f>
        <v/>
      </c>
      <c r="R64" s="34" t="n">
        <f aca="false">IF(A64&lt;=前提条件!$C$89*12,前提条件!$C$90,0)</f>
        <v>4166.66666666667</v>
      </c>
      <c r="S64" s="34" t="n">
        <f aca="false">IF(A64=1,前提条件!$C$91,0)</f>
        <v>0</v>
      </c>
    </row>
    <row r="65" customFormat="false" ht="15" hidden="false" customHeight="false" outlineLevel="0" collapsed="false">
      <c r="A65" s="88" t="n">
        <v>58</v>
      </c>
      <c r="B65" s="89" t="n">
        <f aca="false">EDATE(前提条件!$C$11,A65-1)</f>
        <v>48153</v>
      </c>
      <c r="C65" s="90" t="n">
        <f aca="false">YEAR(B65)+IF(MONTH(B65)&gt;=7,1,0)-2027+48</f>
        <v>53</v>
      </c>
      <c r="D65" s="91" t="n">
        <f aca="false">前提条件!$C$26/365*DAY(EOMONTH(B65,0))</f>
        <v>30</v>
      </c>
      <c r="E65" s="92" t="n">
        <v>1</v>
      </c>
      <c r="F65" s="34" t="n">
        <f aca="false">前提条件!$C$64*D65*E65</f>
        <v>172500</v>
      </c>
      <c r="G65" s="34" t="n">
        <f aca="false">前提条件!$C$65*D65*E65</f>
        <v>2880</v>
      </c>
      <c r="H65" s="34" t="n">
        <f aca="false">(前提条件!$C$66+前提条件!$C$67)*D65</f>
        <v>6300</v>
      </c>
      <c r="I65" s="34" t="n">
        <f aca="false">前提条件!$C$74/12</f>
        <v>7500</v>
      </c>
      <c r="J65" s="93" t="n">
        <f aca="false">F65+G65-H65-I65</f>
        <v>161580</v>
      </c>
      <c r="K65" s="93" t="n">
        <f aca="false">K64+J65</f>
        <v>9506904</v>
      </c>
      <c r="L65" s="93" t="n">
        <f aca="false">MAX(前提条件!$C$94-K65,0)</f>
        <v>0</v>
      </c>
      <c r="M65" s="34" t="n">
        <f aca="false">前提条件!$C$10</f>
        <v>37500</v>
      </c>
      <c r="N65" s="93" t="n">
        <f aca="false">J65-M65-R65-S65</f>
        <v>119913.333333333</v>
      </c>
      <c r="O65" s="93" t="n">
        <f aca="false">O64+N65</f>
        <v>7090237.33333333</v>
      </c>
      <c r="P65" s="93" t="n">
        <f aca="false">前提条件!$C$8-SUM(M$8:M65)+IF(前提条件!$C$86&lt;3,前提条件!$C$85-SUM(R$8:R65),0)</f>
        <v>2583333.33333333</v>
      </c>
      <c r="Q65" s="94" t="str">
        <f aca="false">IF(AND(K65&gt;=前提条件!$C$94,K64&lt;前提条件!$C$94),"◀投資回収","")</f>
        <v/>
      </c>
      <c r="R65" s="34" t="n">
        <f aca="false">IF(A65&lt;=前提条件!$C$89*12,前提条件!$C$90,0)</f>
        <v>4166.66666666667</v>
      </c>
      <c r="S65" s="34" t="n">
        <f aca="false">IF(A65=1,前提条件!$C$91,0)</f>
        <v>0</v>
      </c>
    </row>
    <row r="66" customFormat="false" ht="15" hidden="false" customHeight="false" outlineLevel="0" collapsed="false">
      <c r="A66" s="88" t="n">
        <v>59</v>
      </c>
      <c r="B66" s="89" t="n">
        <f aca="false">EDATE(前提条件!$C$11,A66-1)</f>
        <v>48183</v>
      </c>
      <c r="C66" s="90" t="n">
        <f aca="false">YEAR(B66)+IF(MONTH(B66)&gt;=7,1,0)-2027+48</f>
        <v>53</v>
      </c>
      <c r="D66" s="91" t="n">
        <f aca="false">前提条件!$C$26/365*DAY(EOMONTH(B66,0))</f>
        <v>31</v>
      </c>
      <c r="E66" s="92" t="n">
        <v>1</v>
      </c>
      <c r="F66" s="34" t="n">
        <f aca="false">前提条件!$C$64*D66*E66</f>
        <v>178250</v>
      </c>
      <c r="G66" s="34" t="n">
        <f aca="false">前提条件!$C$65*D66*E66</f>
        <v>2976</v>
      </c>
      <c r="H66" s="34" t="n">
        <f aca="false">(前提条件!$C$66+前提条件!$C$67)*D66</f>
        <v>6510</v>
      </c>
      <c r="I66" s="34" t="n">
        <f aca="false">前提条件!$C$74/12</f>
        <v>7500</v>
      </c>
      <c r="J66" s="93" t="n">
        <f aca="false">F66+G66-H66-I66</f>
        <v>167216</v>
      </c>
      <c r="K66" s="93" t="n">
        <f aca="false">K65+J66</f>
        <v>9674120</v>
      </c>
      <c r="L66" s="93" t="n">
        <f aca="false">MAX(前提条件!$C$94-K66,0)</f>
        <v>0</v>
      </c>
      <c r="M66" s="34" t="n">
        <f aca="false">前提条件!$C$10</f>
        <v>37500</v>
      </c>
      <c r="N66" s="93" t="n">
        <f aca="false">J66-M66-R66-S66</f>
        <v>125549.333333333</v>
      </c>
      <c r="O66" s="93" t="n">
        <f aca="false">O65+N66</f>
        <v>7215786.66666666</v>
      </c>
      <c r="P66" s="93" t="n">
        <f aca="false">前提条件!$C$8-SUM(M$8:M66)+IF(前提条件!$C$86&lt;3,前提条件!$C$85-SUM(R$8:R66),0)</f>
        <v>2541666.66666667</v>
      </c>
      <c r="Q66" s="94" t="str">
        <f aca="false">IF(AND(K66&gt;=前提条件!$C$94,K65&lt;前提条件!$C$94),"◀投資回収","")</f>
        <v/>
      </c>
      <c r="R66" s="34" t="n">
        <f aca="false">IF(A66&lt;=前提条件!$C$89*12,前提条件!$C$90,0)</f>
        <v>4166.66666666667</v>
      </c>
      <c r="S66" s="34" t="n">
        <f aca="false">IF(A66=1,前提条件!$C$91,0)</f>
        <v>0</v>
      </c>
    </row>
    <row r="67" customFormat="false" ht="15" hidden="false" customHeight="false" outlineLevel="0" collapsed="false">
      <c r="A67" s="88" t="n">
        <v>60</v>
      </c>
      <c r="B67" s="89" t="n">
        <f aca="false">EDATE(前提条件!$C$11,A67-1)</f>
        <v>48214</v>
      </c>
      <c r="C67" s="90" t="n">
        <f aca="false">YEAR(B67)+IF(MONTH(B67)&gt;=7,1,0)-2027+48</f>
        <v>53</v>
      </c>
      <c r="D67" s="91" t="n">
        <f aca="false">前提条件!$C$26/365*DAY(EOMONTH(B67,0))</f>
        <v>31</v>
      </c>
      <c r="E67" s="92" t="n">
        <v>1</v>
      </c>
      <c r="F67" s="34" t="n">
        <f aca="false">前提条件!$C$64*D67*E67</f>
        <v>178250</v>
      </c>
      <c r="G67" s="34" t="n">
        <f aca="false">前提条件!$C$65*D67*E67</f>
        <v>2976</v>
      </c>
      <c r="H67" s="34" t="n">
        <f aca="false">(前提条件!$C$66+前提条件!$C$67)*D67</f>
        <v>6510</v>
      </c>
      <c r="I67" s="34" t="n">
        <f aca="false">前提条件!$C$74/12</f>
        <v>7500</v>
      </c>
      <c r="J67" s="93" t="n">
        <f aca="false">F67+G67-H67-I67</f>
        <v>167216</v>
      </c>
      <c r="K67" s="93" t="n">
        <f aca="false">K66+J67</f>
        <v>9841336</v>
      </c>
      <c r="L67" s="93" t="n">
        <f aca="false">MAX(前提条件!$C$94-K67,0)</f>
        <v>0</v>
      </c>
      <c r="M67" s="34" t="n">
        <f aca="false">前提条件!$C$10</f>
        <v>37500</v>
      </c>
      <c r="N67" s="93" t="n">
        <f aca="false">J67-M67-R67-S67</f>
        <v>125549.333333333</v>
      </c>
      <c r="O67" s="93" t="n">
        <f aca="false">O66+N67</f>
        <v>7341335.99999999</v>
      </c>
      <c r="P67" s="93" t="n">
        <f aca="false">前提条件!$C$8-SUM(M$8:M67)+IF(前提条件!$C$86&lt;3,前提条件!$C$85-SUM(R$8:R67),0)</f>
        <v>2500000</v>
      </c>
      <c r="Q67" s="94" t="str">
        <f aca="false">IF(AND(K67&gt;=前提条件!$C$94,K66&lt;前提条件!$C$94),"◀投資回収","")</f>
        <v/>
      </c>
      <c r="R67" s="34" t="n">
        <f aca="false">IF(A67&lt;=前提条件!$C$89*12,前提条件!$C$90,0)</f>
        <v>4166.66666666667</v>
      </c>
      <c r="S67" s="34" t="n">
        <f aca="false">IF(A67=1,前提条件!$C$91,0)</f>
        <v>0</v>
      </c>
    </row>
    <row r="68" customFormat="false" ht="15" hidden="false" customHeight="false" outlineLevel="0" collapsed="false">
      <c r="A68" s="88" t="n">
        <v>61</v>
      </c>
      <c r="B68" s="89" t="n">
        <f aca="false">EDATE(前提条件!$C$11,A68-1)</f>
        <v>48245</v>
      </c>
      <c r="C68" s="90" t="n">
        <f aca="false">YEAR(B68)+IF(MONTH(B68)&gt;=7,1,0)-2027+48</f>
        <v>53</v>
      </c>
      <c r="D68" s="91" t="n">
        <f aca="false">前提条件!$C$26/365*DAY(EOMONTH(B68,0))</f>
        <v>29</v>
      </c>
      <c r="E68" s="92" t="n">
        <v>1</v>
      </c>
      <c r="F68" s="34" t="n">
        <f aca="false">前提条件!$C$64*D68*E68</f>
        <v>166750</v>
      </c>
      <c r="G68" s="34" t="n">
        <f aca="false">前提条件!$C$65*D68*E68</f>
        <v>2784</v>
      </c>
      <c r="H68" s="34" t="n">
        <f aca="false">(前提条件!$C$66+前提条件!$C$67)*D68</f>
        <v>6090</v>
      </c>
      <c r="I68" s="34" t="n">
        <f aca="false">前提条件!$C$74/12</f>
        <v>7500</v>
      </c>
      <c r="J68" s="93" t="n">
        <f aca="false">F68+G68-H68-I68</f>
        <v>155944</v>
      </c>
      <c r="K68" s="93" t="n">
        <f aca="false">K67+J68</f>
        <v>9997280</v>
      </c>
      <c r="L68" s="93" t="n">
        <f aca="false">MAX(前提条件!$C$94-K68,0)</f>
        <v>0</v>
      </c>
      <c r="M68" s="34" t="n">
        <f aca="false">前提条件!$C$10</f>
        <v>37500</v>
      </c>
      <c r="N68" s="93" t="n">
        <f aca="false">J68-M68-R68-S68</f>
        <v>114277.333333333</v>
      </c>
      <c r="O68" s="93" t="n">
        <f aca="false">O67+N68</f>
        <v>7455613.33333333</v>
      </c>
      <c r="P68" s="93" t="n">
        <f aca="false">前提条件!$C$8-SUM(M$8:M68)+IF(前提条件!$C$86&lt;3,前提条件!$C$85-SUM(R$8:R68),0)</f>
        <v>2458333.33333333</v>
      </c>
      <c r="Q68" s="94" t="str">
        <f aca="false">IF(AND(K68&gt;=前提条件!$C$94,K67&lt;前提条件!$C$94),"◀投資回収","")</f>
        <v/>
      </c>
      <c r="R68" s="34" t="n">
        <f aca="false">IF(A68&lt;=前提条件!$C$89*12,前提条件!$C$90,0)</f>
        <v>4166.66666666667</v>
      </c>
      <c r="S68" s="34" t="n">
        <f aca="false">IF(A68=1,前提条件!$C$91,0)</f>
        <v>0</v>
      </c>
    </row>
    <row r="69" customFormat="false" ht="15" hidden="false" customHeight="false" outlineLevel="0" collapsed="false">
      <c r="A69" s="88" t="n">
        <v>62</v>
      </c>
      <c r="B69" s="89" t="n">
        <f aca="false">EDATE(前提条件!$C$11,A69-1)</f>
        <v>48274</v>
      </c>
      <c r="C69" s="90" t="n">
        <f aca="false">YEAR(B69)+IF(MONTH(B69)&gt;=7,1,0)-2027+48</f>
        <v>53</v>
      </c>
      <c r="D69" s="91" t="n">
        <f aca="false">前提条件!$C$26/365*DAY(EOMONTH(B69,0))</f>
        <v>31</v>
      </c>
      <c r="E69" s="92" t="n">
        <v>1</v>
      </c>
      <c r="F69" s="34" t="n">
        <f aca="false">前提条件!$C$64*D69*E69</f>
        <v>178250</v>
      </c>
      <c r="G69" s="34" t="n">
        <f aca="false">前提条件!$C$65*D69*E69</f>
        <v>2976</v>
      </c>
      <c r="H69" s="34" t="n">
        <f aca="false">(前提条件!$C$66+前提条件!$C$67)*D69</f>
        <v>6510</v>
      </c>
      <c r="I69" s="34" t="n">
        <f aca="false">前提条件!$C$74/12</f>
        <v>7500</v>
      </c>
      <c r="J69" s="93" t="n">
        <f aca="false">F69+G69-H69-I69</f>
        <v>167216</v>
      </c>
      <c r="K69" s="93" t="n">
        <f aca="false">K68+J69</f>
        <v>10164496</v>
      </c>
      <c r="L69" s="93" t="n">
        <f aca="false">MAX(前提条件!$C$94-K69,0)</f>
        <v>0</v>
      </c>
      <c r="M69" s="34" t="n">
        <f aca="false">前提条件!$C$10</f>
        <v>37500</v>
      </c>
      <c r="N69" s="93" t="n">
        <f aca="false">J69-M69-R69-S69</f>
        <v>125549.333333333</v>
      </c>
      <c r="O69" s="93" t="n">
        <f aca="false">O68+N69</f>
        <v>7581162.66666666</v>
      </c>
      <c r="P69" s="93" t="n">
        <f aca="false">前提条件!$C$8-SUM(M$8:M69)+IF(前提条件!$C$86&lt;3,前提条件!$C$85-SUM(R$8:R69),0)</f>
        <v>2416666.66666667</v>
      </c>
      <c r="Q69" s="94" t="str">
        <f aca="false">IF(AND(K69&gt;=前提条件!$C$94,K68&lt;前提条件!$C$94),"◀投資回収","")</f>
        <v/>
      </c>
      <c r="R69" s="34" t="n">
        <f aca="false">IF(A69&lt;=前提条件!$C$89*12,前提条件!$C$90,0)</f>
        <v>4166.66666666667</v>
      </c>
      <c r="S69" s="34" t="n">
        <f aca="false">IF(A69=1,前提条件!$C$91,0)</f>
        <v>0</v>
      </c>
    </row>
    <row r="70" customFormat="false" ht="15" hidden="false" customHeight="false" outlineLevel="0" collapsed="false">
      <c r="A70" s="88" t="n">
        <v>63</v>
      </c>
      <c r="B70" s="89" t="n">
        <f aca="false">EDATE(前提条件!$C$11,A70-1)</f>
        <v>48305</v>
      </c>
      <c r="C70" s="90" t="n">
        <f aca="false">YEAR(B70)+IF(MONTH(B70)&gt;=7,1,0)-2027+48</f>
        <v>53</v>
      </c>
      <c r="D70" s="91" t="n">
        <f aca="false">前提条件!$C$26/365*DAY(EOMONTH(B70,0))</f>
        <v>30</v>
      </c>
      <c r="E70" s="92" t="n">
        <v>1</v>
      </c>
      <c r="F70" s="34" t="n">
        <f aca="false">前提条件!$C$64*D70*E70</f>
        <v>172500</v>
      </c>
      <c r="G70" s="34" t="n">
        <f aca="false">前提条件!$C$65*D70*E70</f>
        <v>2880</v>
      </c>
      <c r="H70" s="34" t="n">
        <f aca="false">(前提条件!$C$66+前提条件!$C$67)*D70</f>
        <v>6300</v>
      </c>
      <c r="I70" s="34" t="n">
        <f aca="false">前提条件!$C$74/12</f>
        <v>7500</v>
      </c>
      <c r="J70" s="93" t="n">
        <f aca="false">F70+G70-H70-I70</f>
        <v>161580</v>
      </c>
      <c r="K70" s="93" t="n">
        <f aca="false">K69+J70</f>
        <v>10326076</v>
      </c>
      <c r="L70" s="93" t="n">
        <f aca="false">MAX(前提条件!$C$94-K70,0)</f>
        <v>0</v>
      </c>
      <c r="M70" s="34" t="n">
        <f aca="false">前提条件!$C$10</f>
        <v>37500</v>
      </c>
      <c r="N70" s="93" t="n">
        <f aca="false">J70-M70-R70-S70</f>
        <v>119913.333333333</v>
      </c>
      <c r="O70" s="93" t="n">
        <f aca="false">O69+N70</f>
        <v>7701075.99999999</v>
      </c>
      <c r="P70" s="93" t="n">
        <f aca="false">前提条件!$C$8-SUM(M$8:M70)+IF(前提条件!$C$86&lt;3,前提条件!$C$85-SUM(R$8:R70),0)</f>
        <v>2375000</v>
      </c>
      <c r="Q70" s="94" t="str">
        <f aca="false">IF(AND(K70&gt;=前提条件!$C$94,K69&lt;前提条件!$C$94),"◀投資回収","")</f>
        <v/>
      </c>
      <c r="R70" s="34" t="n">
        <f aca="false">IF(A70&lt;=前提条件!$C$89*12,前提条件!$C$90,0)</f>
        <v>4166.66666666667</v>
      </c>
      <c r="S70" s="34" t="n">
        <f aca="false">IF(A70=1,前提条件!$C$91,0)</f>
        <v>0</v>
      </c>
    </row>
    <row r="71" customFormat="false" ht="15" hidden="false" customHeight="false" outlineLevel="0" collapsed="false">
      <c r="A71" s="88" t="n">
        <v>64</v>
      </c>
      <c r="B71" s="89" t="n">
        <f aca="false">EDATE(前提条件!$C$11,A71-1)</f>
        <v>48335</v>
      </c>
      <c r="C71" s="90" t="n">
        <f aca="false">YEAR(B71)+IF(MONTH(B71)&gt;=7,1,0)-2027+48</f>
        <v>53</v>
      </c>
      <c r="D71" s="91" t="n">
        <f aca="false">前提条件!$C$26/365*DAY(EOMONTH(B71,0))</f>
        <v>31</v>
      </c>
      <c r="E71" s="92" t="n">
        <v>1</v>
      </c>
      <c r="F71" s="34" t="n">
        <f aca="false">前提条件!$C$64*D71*E71</f>
        <v>178250</v>
      </c>
      <c r="G71" s="34" t="n">
        <f aca="false">前提条件!$C$65*D71*E71</f>
        <v>2976</v>
      </c>
      <c r="H71" s="34" t="n">
        <f aca="false">(前提条件!$C$66+前提条件!$C$67)*D71</f>
        <v>6510</v>
      </c>
      <c r="I71" s="34" t="n">
        <f aca="false">前提条件!$C$74/12</f>
        <v>7500</v>
      </c>
      <c r="J71" s="93" t="n">
        <f aca="false">F71+G71-H71-I71</f>
        <v>167216</v>
      </c>
      <c r="K71" s="93" t="n">
        <f aca="false">K70+J71</f>
        <v>10493292</v>
      </c>
      <c r="L71" s="93" t="n">
        <f aca="false">MAX(前提条件!$C$94-K71,0)</f>
        <v>0</v>
      </c>
      <c r="M71" s="34" t="n">
        <f aca="false">前提条件!$C$10</f>
        <v>37500</v>
      </c>
      <c r="N71" s="93" t="n">
        <f aca="false">J71-M71-R71-S71</f>
        <v>125549.333333333</v>
      </c>
      <c r="O71" s="93" t="n">
        <f aca="false">O70+N71</f>
        <v>7826625.33333333</v>
      </c>
      <c r="P71" s="93" t="n">
        <f aca="false">前提条件!$C$8-SUM(M$8:M71)+IF(前提条件!$C$86&lt;3,前提条件!$C$85-SUM(R$8:R71),0)</f>
        <v>2333333.33333333</v>
      </c>
      <c r="Q71" s="94" t="str">
        <f aca="false">IF(AND(K71&gt;=前提条件!$C$94,K70&lt;前提条件!$C$94),"◀投資回収","")</f>
        <v/>
      </c>
      <c r="R71" s="34" t="n">
        <f aca="false">IF(A71&lt;=前提条件!$C$89*12,前提条件!$C$90,0)</f>
        <v>4166.66666666667</v>
      </c>
      <c r="S71" s="34" t="n">
        <f aca="false">IF(A71=1,前提条件!$C$91,0)</f>
        <v>0</v>
      </c>
    </row>
    <row r="72" customFormat="false" ht="15" hidden="false" customHeight="false" outlineLevel="0" collapsed="false">
      <c r="A72" s="88" t="n">
        <v>65</v>
      </c>
      <c r="B72" s="89" t="n">
        <f aca="false">EDATE(前提条件!$C$11,A72-1)</f>
        <v>48366</v>
      </c>
      <c r="C72" s="90" t="n">
        <f aca="false">YEAR(B72)+IF(MONTH(B72)&gt;=7,1,0)-2027+48</f>
        <v>53</v>
      </c>
      <c r="D72" s="91" t="n">
        <f aca="false">前提条件!$C$26/365*DAY(EOMONTH(B72,0))</f>
        <v>30</v>
      </c>
      <c r="E72" s="92" t="n">
        <v>1</v>
      </c>
      <c r="F72" s="34" t="n">
        <f aca="false">前提条件!$C$64*D72*E72</f>
        <v>172500</v>
      </c>
      <c r="G72" s="34" t="n">
        <f aca="false">前提条件!$C$65*D72*E72</f>
        <v>2880</v>
      </c>
      <c r="H72" s="34" t="n">
        <f aca="false">(前提条件!$C$66+前提条件!$C$67)*D72</f>
        <v>6300</v>
      </c>
      <c r="I72" s="34" t="n">
        <f aca="false">前提条件!$C$74/12</f>
        <v>7500</v>
      </c>
      <c r="J72" s="93" t="n">
        <f aca="false">F72+G72-H72-I72</f>
        <v>161580</v>
      </c>
      <c r="K72" s="93" t="n">
        <f aca="false">K71+J72</f>
        <v>10654872</v>
      </c>
      <c r="L72" s="93" t="n">
        <f aca="false">MAX(前提条件!$C$94-K72,0)</f>
        <v>0</v>
      </c>
      <c r="M72" s="34" t="n">
        <f aca="false">前提条件!$C$10</f>
        <v>37500</v>
      </c>
      <c r="N72" s="93" t="n">
        <f aca="false">J72-M72-R72-S72</f>
        <v>119913.333333333</v>
      </c>
      <c r="O72" s="93" t="n">
        <f aca="false">O71+N72</f>
        <v>7946538.66666666</v>
      </c>
      <c r="P72" s="93" t="n">
        <f aca="false">前提条件!$C$8-SUM(M$8:M72)+IF(前提条件!$C$86&lt;3,前提条件!$C$85-SUM(R$8:R72),0)</f>
        <v>2291666.66666667</v>
      </c>
      <c r="Q72" s="94" t="str">
        <f aca="false">IF(AND(K72&gt;=前提条件!$C$94,K71&lt;前提条件!$C$94),"◀投資回収","")</f>
        <v/>
      </c>
      <c r="R72" s="34" t="n">
        <f aca="false">IF(A72&lt;=前提条件!$C$89*12,前提条件!$C$90,0)</f>
        <v>4166.66666666667</v>
      </c>
      <c r="S72" s="34" t="n">
        <f aca="false">IF(A72=1,前提条件!$C$91,0)</f>
        <v>0</v>
      </c>
    </row>
    <row r="73" customFormat="false" ht="15" hidden="false" customHeight="false" outlineLevel="0" collapsed="false">
      <c r="A73" s="88" t="n">
        <v>66</v>
      </c>
      <c r="B73" s="89" t="n">
        <f aca="false">EDATE(前提条件!$C$11,A73-1)</f>
        <v>48396</v>
      </c>
      <c r="C73" s="90" t="n">
        <f aca="false">YEAR(B73)+IF(MONTH(B73)&gt;=7,1,0)-2027+48</f>
        <v>54</v>
      </c>
      <c r="D73" s="91" t="n">
        <f aca="false">前提条件!$C$26/365*DAY(EOMONTH(B73,0))</f>
        <v>31</v>
      </c>
      <c r="E73" s="92" t="n">
        <v>1</v>
      </c>
      <c r="F73" s="34" t="n">
        <f aca="false">前提条件!$C$64*D73*E73</f>
        <v>178250</v>
      </c>
      <c r="G73" s="34" t="n">
        <f aca="false">前提条件!$C$65*D73*E73</f>
        <v>2976</v>
      </c>
      <c r="H73" s="34" t="n">
        <f aca="false">(前提条件!$C$66+前提条件!$C$67)*D73</f>
        <v>6510</v>
      </c>
      <c r="I73" s="34" t="n">
        <f aca="false">前提条件!$C$74/12</f>
        <v>7500</v>
      </c>
      <c r="J73" s="93" t="n">
        <f aca="false">F73+G73-H73-I73</f>
        <v>167216</v>
      </c>
      <c r="K73" s="93" t="n">
        <f aca="false">K72+J73</f>
        <v>10822088</v>
      </c>
      <c r="L73" s="93" t="n">
        <f aca="false">MAX(前提条件!$C$94-K73,0)</f>
        <v>0</v>
      </c>
      <c r="M73" s="34" t="n">
        <f aca="false">前提条件!$C$10</f>
        <v>37500</v>
      </c>
      <c r="N73" s="93" t="n">
        <f aca="false">J73-M73-R73-S73</f>
        <v>125549.333333333</v>
      </c>
      <c r="O73" s="93" t="n">
        <f aca="false">O72+N73</f>
        <v>8072087.99999999</v>
      </c>
      <c r="P73" s="93" t="n">
        <f aca="false">前提条件!$C$8-SUM(M$8:M73)+IF(前提条件!$C$86&lt;3,前提条件!$C$85-SUM(R$8:R73),0)</f>
        <v>2250000</v>
      </c>
      <c r="Q73" s="94" t="str">
        <f aca="false">IF(AND(K73&gt;=前提条件!$C$94,K72&lt;前提条件!$C$94),"◀投資回収","")</f>
        <v/>
      </c>
      <c r="R73" s="34" t="n">
        <f aca="false">IF(A73&lt;=前提条件!$C$89*12,前提条件!$C$90,0)</f>
        <v>4166.66666666667</v>
      </c>
      <c r="S73" s="34" t="n">
        <f aca="false">IF(A73=1,前提条件!$C$91,0)</f>
        <v>0</v>
      </c>
    </row>
    <row r="74" customFormat="false" ht="15" hidden="false" customHeight="false" outlineLevel="0" collapsed="false">
      <c r="A74" s="88" t="n">
        <v>67</v>
      </c>
      <c r="B74" s="89" t="n">
        <f aca="false">EDATE(前提条件!$C$11,A74-1)</f>
        <v>48427</v>
      </c>
      <c r="C74" s="90" t="n">
        <f aca="false">YEAR(B74)+IF(MONTH(B74)&gt;=7,1,0)-2027+48</f>
        <v>54</v>
      </c>
      <c r="D74" s="91" t="n">
        <f aca="false">前提条件!$C$26/365*DAY(EOMONTH(B74,0))</f>
        <v>31</v>
      </c>
      <c r="E74" s="92" t="n">
        <v>1</v>
      </c>
      <c r="F74" s="34" t="n">
        <f aca="false">前提条件!$C$64*D74*E74</f>
        <v>178250</v>
      </c>
      <c r="G74" s="34" t="n">
        <f aca="false">前提条件!$C$65*D74*E74</f>
        <v>2976</v>
      </c>
      <c r="H74" s="34" t="n">
        <f aca="false">(前提条件!$C$66+前提条件!$C$67)*D74</f>
        <v>6510</v>
      </c>
      <c r="I74" s="34" t="n">
        <f aca="false">前提条件!$C$74/12</f>
        <v>7500</v>
      </c>
      <c r="J74" s="93" t="n">
        <f aca="false">F74+G74-H74-I74</f>
        <v>167216</v>
      </c>
      <c r="K74" s="93" t="n">
        <f aca="false">K73+J74</f>
        <v>10989304</v>
      </c>
      <c r="L74" s="93" t="n">
        <f aca="false">MAX(前提条件!$C$94-K74,0)</f>
        <v>0</v>
      </c>
      <c r="M74" s="34" t="n">
        <f aca="false">前提条件!$C$10</f>
        <v>37500</v>
      </c>
      <c r="N74" s="93" t="n">
        <f aca="false">J74-M74-R74-S74</f>
        <v>125549.333333333</v>
      </c>
      <c r="O74" s="93" t="n">
        <f aca="false">O73+N74</f>
        <v>8197637.33333333</v>
      </c>
      <c r="P74" s="93" t="n">
        <f aca="false">前提条件!$C$8-SUM(M$8:M74)+IF(前提条件!$C$86&lt;3,前提条件!$C$85-SUM(R$8:R74),0)</f>
        <v>2208333.33333333</v>
      </c>
      <c r="Q74" s="94" t="str">
        <f aca="false">IF(AND(K74&gt;=前提条件!$C$94,K73&lt;前提条件!$C$94),"◀投資回収","")</f>
        <v/>
      </c>
      <c r="R74" s="34" t="n">
        <f aca="false">IF(A74&lt;=前提条件!$C$89*12,前提条件!$C$90,0)</f>
        <v>4166.66666666667</v>
      </c>
      <c r="S74" s="34" t="n">
        <f aca="false">IF(A74=1,前提条件!$C$91,0)</f>
        <v>0</v>
      </c>
    </row>
    <row r="75" customFormat="false" ht="15" hidden="false" customHeight="false" outlineLevel="0" collapsed="false">
      <c r="A75" s="88" t="n">
        <v>68</v>
      </c>
      <c r="B75" s="89" t="n">
        <f aca="false">EDATE(前提条件!$C$11,A75-1)</f>
        <v>48458</v>
      </c>
      <c r="C75" s="90" t="n">
        <f aca="false">YEAR(B75)+IF(MONTH(B75)&gt;=7,1,0)-2027+48</f>
        <v>54</v>
      </c>
      <c r="D75" s="91" t="n">
        <f aca="false">前提条件!$C$26/365*DAY(EOMONTH(B75,0))</f>
        <v>30</v>
      </c>
      <c r="E75" s="92" t="n">
        <v>1</v>
      </c>
      <c r="F75" s="34" t="n">
        <f aca="false">前提条件!$C$64*D75*E75</f>
        <v>172500</v>
      </c>
      <c r="G75" s="34" t="n">
        <f aca="false">前提条件!$C$65*D75*E75</f>
        <v>2880</v>
      </c>
      <c r="H75" s="34" t="n">
        <f aca="false">(前提条件!$C$66+前提条件!$C$67)*D75</f>
        <v>6300</v>
      </c>
      <c r="I75" s="34" t="n">
        <f aca="false">前提条件!$C$74/12</f>
        <v>7500</v>
      </c>
      <c r="J75" s="93" t="n">
        <f aca="false">F75+G75-H75-I75</f>
        <v>161580</v>
      </c>
      <c r="K75" s="93" t="n">
        <f aca="false">K74+J75</f>
        <v>11150884</v>
      </c>
      <c r="L75" s="93" t="n">
        <f aca="false">MAX(前提条件!$C$94-K75,0)</f>
        <v>0</v>
      </c>
      <c r="M75" s="34" t="n">
        <f aca="false">前提条件!$C$10</f>
        <v>37500</v>
      </c>
      <c r="N75" s="93" t="n">
        <f aca="false">J75-M75-R75-S75</f>
        <v>119913.333333333</v>
      </c>
      <c r="O75" s="93" t="n">
        <f aca="false">O74+N75</f>
        <v>8317550.66666666</v>
      </c>
      <c r="P75" s="93" t="n">
        <f aca="false">前提条件!$C$8-SUM(M$8:M75)+IF(前提条件!$C$86&lt;3,前提条件!$C$85-SUM(R$8:R75),0)</f>
        <v>2166666.66666667</v>
      </c>
      <c r="Q75" s="94" t="str">
        <f aca="false">IF(AND(K75&gt;=前提条件!$C$94,K74&lt;前提条件!$C$94),"◀投資回収","")</f>
        <v/>
      </c>
      <c r="R75" s="34" t="n">
        <f aca="false">IF(A75&lt;=前提条件!$C$89*12,前提条件!$C$90,0)</f>
        <v>4166.66666666667</v>
      </c>
      <c r="S75" s="34" t="n">
        <f aca="false">IF(A75=1,前提条件!$C$91,0)</f>
        <v>0</v>
      </c>
    </row>
    <row r="76" customFormat="false" ht="15" hidden="false" customHeight="false" outlineLevel="0" collapsed="false">
      <c r="A76" s="88" t="n">
        <v>69</v>
      </c>
      <c r="B76" s="89" t="n">
        <f aca="false">EDATE(前提条件!$C$11,A76-1)</f>
        <v>48488</v>
      </c>
      <c r="C76" s="90" t="n">
        <f aca="false">YEAR(B76)+IF(MONTH(B76)&gt;=7,1,0)-2027+48</f>
        <v>54</v>
      </c>
      <c r="D76" s="91" t="n">
        <f aca="false">前提条件!$C$26/365*DAY(EOMONTH(B76,0))</f>
        <v>31</v>
      </c>
      <c r="E76" s="92" t="n">
        <v>1</v>
      </c>
      <c r="F76" s="34" t="n">
        <f aca="false">前提条件!$C$64*D76*E76</f>
        <v>178250</v>
      </c>
      <c r="G76" s="34" t="n">
        <f aca="false">前提条件!$C$65*D76*E76</f>
        <v>2976</v>
      </c>
      <c r="H76" s="34" t="n">
        <f aca="false">(前提条件!$C$66+前提条件!$C$67)*D76</f>
        <v>6510</v>
      </c>
      <c r="I76" s="34" t="n">
        <f aca="false">前提条件!$C$74/12</f>
        <v>7500</v>
      </c>
      <c r="J76" s="93" t="n">
        <f aca="false">F76+G76-H76-I76</f>
        <v>167216</v>
      </c>
      <c r="K76" s="93" t="n">
        <f aca="false">K75+J76</f>
        <v>11318100</v>
      </c>
      <c r="L76" s="93" t="n">
        <f aca="false">MAX(前提条件!$C$94-K76,0)</f>
        <v>0</v>
      </c>
      <c r="M76" s="34" t="n">
        <f aca="false">前提条件!$C$10</f>
        <v>37500</v>
      </c>
      <c r="N76" s="93" t="n">
        <f aca="false">J76-M76-R76-S76</f>
        <v>125549.333333333</v>
      </c>
      <c r="O76" s="93" t="n">
        <f aca="false">O75+N76</f>
        <v>8443099.99999999</v>
      </c>
      <c r="P76" s="93" t="n">
        <f aca="false">前提条件!$C$8-SUM(M$8:M76)+IF(前提条件!$C$86&lt;3,前提条件!$C$85-SUM(R$8:R76),0)</f>
        <v>2125000</v>
      </c>
      <c r="Q76" s="94" t="str">
        <f aca="false">IF(AND(K76&gt;=前提条件!$C$94,K75&lt;前提条件!$C$94),"◀投資回収","")</f>
        <v/>
      </c>
      <c r="R76" s="34" t="n">
        <f aca="false">IF(A76&lt;=前提条件!$C$89*12,前提条件!$C$90,0)</f>
        <v>4166.66666666667</v>
      </c>
      <c r="S76" s="34" t="n">
        <f aca="false">IF(A76=1,前提条件!$C$91,0)</f>
        <v>0</v>
      </c>
    </row>
    <row r="77" customFormat="false" ht="15" hidden="false" customHeight="false" outlineLevel="0" collapsed="false">
      <c r="A77" s="88" t="n">
        <v>70</v>
      </c>
      <c r="B77" s="89" t="n">
        <f aca="false">EDATE(前提条件!$C$11,A77-1)</f>
        <v>48519</v>
      </c>
      <c r="C77" s="90" t="n">
        <f aca="false">YEAR(B77)+IF(MONTH(B77)&gt;=7,1,0)-2027+48</f>
        <v>54</v>
      </c>
      <c r="D77" s="91" t="n">
        <f aca="false">前提条件!$C$26/365*DAY(EOMONTH(B77,0))</f>
        <v>30</v>
      </c>
      <c r="E77" s="92" t="n">
        <v>1</v>
      </c>
      <c r="F77" s="34" t="n">
        <f aca="false">前提条件!$C$64*D77*E77</f>
        <v>172500</v>
      </c>
      <c r="G77" s="34" t="n">
        <f aca="false">前提条件!$C$65*D77*E77</f>
        <v>2880</v>
      </c>
      <c r="H77" s="34" t="n">
        <f aca="false">(前提条件!$C$66+前提条件!$C$67)*D77</f>
        <v>6300</v>
      </c>
      <c r="I77" s="34" t="n">
        <f aca="false">前提条件!$C$74/12</f>
        <v>7500</v>
      </c>
      <c r="J77" s="93" t="n">
        <f aca="false">F77+G77-H77-I77</f>
        <v>161580</v>
      </c>
      <c r="K77" s="93" t="n">
        <f aca="false">K76+J77</f>
        <v>11479680</v>
      </c>
      <c r="L77" s="93" t="n">
        <f aca="false">MAX(前提条件!$C$94-K77,0)</f>
        <v>0</v>
      </c>
      <c r="M77" s="34" t="n">
        <f aca="false">前提条件!$C$10</f>
        <v>37500</v>
      </c>
      <c r="N77" s="93" t="n">
        <f aca="false">J77-M77-R77-S77</f>
        <v>119913.333333333</v>
      </c>
      <c r="O77" s="93" t="n">
        <f aca="false">O76+N77</f>
        <v>8563013.33333333</v>
      </c>
      <c r="P77" s="93" t="n">
        <f aca="false">前提条件!$C$8-SUM(M$8:M77)+IF(前提条件!$C$86&lt;3,前提条件!$C$85-SUM(R$8:R77),0)</f>
        <v>2083333.33333333</v>
      </c>
      <c r="Q77" s="94" t="str">
        <f aca="false">IF(AND(K77&gt;=前提条件!$C$94,K76&lt;前提条件!$C$94),"◀投資回収","")</f>
        <v/>
      </c>
      <c r="R77" s="34" t="n">
        <f aca="false">IF(A77&lt;=前提条件!$C$89*12,前提条件!$C$90,0)</f>
        <v>4166.66666666667</v>
      </c>
      <c r="S77" s="34" t="n">
        <f aca="false">IF(A77=1,前提条件!$C$91,0)</f>
        <v>0</v>
      </c>
    </row>
    <row r="78" customFormat="false" ht="15" hidden="false" customHeight="false" outlineLevel="0" collapsed="false">
      <c r="A78" s="88" t="n">
        <v>71</v>
      </c>
      <c r="B78" s="89" t="n">
        <f aca="false">EDATE(前提条件!$C$11,A78-1)</f>
        <v>48549</v>
      </c>
      <c r="C78" s="90" t="n">
        <f aca="false">YEAR(B78)+IF(MONTH(B78)&gt;=7,1,0)-2027+48</f>
        <v>54</v>
      </c>
      <c r="D78" s="91" t="n">
        <f aca="false">前提条件!$C$26/365*DAY(EOMONTH(B78,0))</f>
        <v>31</v>
      </c>
      <c r="E78" s="92" t="n">
        <v>1</v>
      </c>
      <c r="F78" s="34" t="n">
        <f aca="false">前提条件!$C$64*D78*E78</f>
        <v>178250</v>
      </c>
      <c r="G78" s="34" t="n">
        <f aca="false">前提条件!$C$65*D78*E78</f>
        <v>2976</v>
      </c>
      <c r="H78" s="34" t="n">
        <f aca="false">(前提条件!$C$66+前提条件!$C$67)*D78</f>
        <v>6510</v>
      </c>
      <c r="I78" s="34" t="n">
        <f aca="false">前提条件!$C$74/12</f>
        <v>7500</v>
      </c>
      <c r="J78" s="93" t="n">
        <f aca="false">F78+G78-H78-I78</f>
        <v>167216</v>
      </c>
      <c r="K78" s="93" t="n">
        <f aca="false">K77+J78</f>
        <v>11646896</v>
      </c>
      <c r="L78" s="93" t="n">
        <f aca="false">MAX(前提条件!$C$94-K78,0)</f>
        <v>0</v>
      </c>
      <c r="M78" s="34" t="n">
        <f aca="false">前提条件!$C$10</f>
        <v>37500</v>
      </c>
      <c r="N78" s="93" t="n">
        <f aca="false">J78-M78-R78-S78</f>
        <v>125549.333333333</v>
      </c>
      <c r="O78" s="93" t="n">
        <f aca="false">O77+N78</f>
        <v>8688562.66666666</v>
      </c>
      <c r="P78" s="93" t="n">
        <f aca="false">前提条件!$C$8-SUM(M$8:M78)+IF(前提条件!$C$86&lt;3,前提条件!$C$85-SUM(R$8:R78),0)</f>
        <v>2041666.66666667</v>
      </c>
      <c r="Q78" s="94" t="str">
        <f aca="false">IF(AND(K78&gt;=前提条件!$C$94,K77&lt;前提条件!$C$94),"◀投資回収","")</f>
        <v/>
      </c>
      <c r="R78" s="34" t="n">
        <f aca="false">IF(A78&lt;=前提条件!$C$89*12,前提条件!$C$90,0)</f>
        <v>4166.66666666667</v>
      </c>
      <c r="S78" s="34" t="n">
        <f aca="false">IF(A78=1,前提条件!$C$91,0)</f>
        <v>0</v>
      </c>
    </row>
    <row r="79" customFormat="false" ht="15" hidden="false" customHeight="false" outlineLevel="0" collapsed="false">
      <c r="A79" s="88" t="n">
        <v>72</v>
      </c>
      <c r="B79" s="89" t="n">
        <f aca="false">EDATE(前提条件!$C$11,A79-1)</f>
        <v>48580</v>
      </c>
      <c r="C79" s="90" t="n">
        <f aca="false">YEAR(B79)+IF(MONTH(B79)&gt;=7,1,0)-2027+48</f>
        <v>54</v>
      </c>
      <c r="D79" s="91" t="n">
        <f aca="false">前提条件!$C$26/365*DAY(EOMONTH(B79,0))</f>
        <v>31</v>
      </c>
      <c r="E79" s="92" t="n">
        <v>1</v>
      </c>
      <c r="F79" s="34" t="n">
        <f aca="false">前提条件!$C$64*D79*E79</f>
        <v>178250</v>
      </c>
      <c r="G79" s="34" t="n">
        <f aca="false">前提条件!$C$65*D79*E79</f>
        <v>2976</v>
      </c>
      <c r="H79" s="34" t="n">
        <f aca="false">(前提条件!$C$66+前提条件!$C$67)*D79</f>
        <v>6510</v>
      </c>
      <c r="I79" s="34" t="n">
        <f aca="false">前提条件!$C$74/12</f>
        <v>7500</v>
      </c>
      <c r="J79" s="93" t="n">
        <f aca="false">F79+G79-H79-I79</f>
        <v>167216</v>
      </c>
      <c r="K79" s="93" t="n">
        <f aca="false">K78+J79</f>
        <v>11814112</v>
      </c>
      <c r="L79" s="93" t="n">
        <f aca="false">MAX(前提条件!$C$94-K79,0)</f>
        <v>0</v>
      </c>
      <c r="M79" s="34" t="n">
        <f aca="false">前提条件!$C$10</f>
        <v>37500</v>
      </c>
      <c r="N79" s="93" t="n">
        <f aca="false">J79-M79-R79-S79</f>
        <v>125549.333333333</v>
      </c>
      <c r="O79" s="93" t="n">
        <f aca="false">O78+N79</f>
        <v>8814111.99999999</v>
      </c>
      <c r="P79" s="93" t="n">
        <f aca="false">前提条件!$C$8-SUM(M$8:M79)+IF(前提条件!$C$86&lt;3,前提条件!$C$85-SUM(R$8:R79),0)</f>
        <v>2000000</v>
      </c>
      <c r="Q79" s="94" t="str">
        <f aca="false">IF(AND(K79&gt;=前提条件!$C$94,K78&lt;前提条件!$C$94),"◀投資回収","")</f>
        <v/>
      </c>
      <c r="R79" s="34" t="n">
        <f aca="false">IF(A79&lt;=前提条件!$C$89*12,前提条件!$C$90,0)</f>
        <v>4166.66666666667</v>
      </c>
      <c r="S79" s="34" t="n">
        <f aca="false">IF(A79=1,前提条件!$C$91,0)</f>
        <v>0</v>
      </c>
    </row>
    <row r="80" customFormat="false" ht="15" hidden="false" customHeight="false" outlineLevel="0" collapsed="false">
      <c r="A80" s="88" t="n">
        <v>73</v>
      </c>
      <c r="B80" s="89" t="n">
        <f aca="false">EDATE(前提条件!$C$11,A80-1)</f>
        <v>48611</v>
      </c>
      <c r="C80" s="90" t="n">
        <f aca="false">YEAR(B80)+IF(MONTH(B80)&gt;=7,1,0)-2027+48</f>
        <v>54</v>
      </c>
      <c r="D80" s="91" t="n">
        <f aca="false">前提条件!$C$26/365*DAY(EOMONTH(B80,0))</f>
        <v>28</v>
      </c>
      <c r="E80" s="92" t="n">
        <v>1</v>
      </c>
      <c r="F80" s="34" t="n">
        <f aca="false">前提条件!$C$64*D80*E80</f>
        <v>161000</v>
      </c>
      <c r="G80" s="34" t="n">
        <f aca="false">前提条件!$C$65*D80*E80</f>
        <v>2688</v>
      </c>
      <c r="H80" s="34" t="n">
        <f aca="false">(前提条件!$C$66+前提条件!$C$67)*D80</f>
        <v>5880</v>
      </c>
      <c r="I80" s="34" t="n">
        <f aca="false">前提条件!$C$74/12</f>
        <v>7500</v>
      </c>
      <c r="J80" s="93" t="n">
        <f aca="false">F80+G80-H80-I80</f>
        <v>150308</v>
      </c>
      <c r="K80" s="93" t="n">
        <f aca="false">K79+J80</f>
        <v>11964420</v>
      </c>
      <c r="L80" s="93" t="n">
        <f aca="false">MAX(前提条件!$C$94-K80,0)</f>
        <v>0</v>
      </c>
      <c r="M80" s="34" t="n">
        <f aca="false">前提条件!$C$10</f>
        <v>37500</v>
      </c>
      <c r="N80" s="93" t="n">
        <f aca="false">J80-M80-R80-S80</f>
        <v>108641.333333333</v>
      </c>
      <c r="O80" s="93" t="n">
        <f aca="false">O79+N80</f>
        <v>8922753.33333333</v>
      </c>
      <c r="P80" s="93" t="n">
        <f aca="false">前提条件!$C$8-SUM(M$8:M80)+IF(前提条件!$C$86&lt;3,前提条件!$C$85-SUM(R$8:R80),0)</f>
        <v>1958333.33333333</v>
      </c>
      <c r="Q80" s="94" t="str">
        <f aca="false">IF(AND(K80&gt;=前提条件!$C$94,K79&lt;前提条件!$C$94),"◀投資回収","")</f>
        <v/>
      </c>
      <c r="R80" s="34" t="n">
        <f aca="false">IF(A80&lt;=前提条件!$C$89*12,前提条件!$C$90,0)</f>
        <v>4166.66666666667</v>
      </c>
      <c r="S80" s="34" t="n">
        <f aca="false">IF(A80=1,前提条件!$C$91,0)</f>
        <v>0</v>
      </c>
    </row>
    <row r="81" customFormat="false" ht="15" hidden="false" customHeight="false" outlineLevel="0" collapsed="false">
      <c r="A81" s="88" t="n">
        <v>74</v>
      </c>
      <c r="B81" s="89" t="n">
        <f aca="false">EDATE(前提条件!$C$11,A81-1)</f>
        <v>48639</v>
      </c>
      <c r="C81" s="90" t="n">
        <f aca="false">YEAR(B81)+IF(MONTH(B81)&gt;=7,1,0)-2027+48</f>
        <v>54</v>
      </c>
      <c r="D81" s="91" t="n">
        <f aca="false">前提条件!$C$26/365*DAY(EOMONTH(B81,0))</f>
        <v>31</v>
      </c>
      <c r="E81" s="92" t="n">
        <v>1</v>
      </c>
      <c r="F81" s="34" t="n">
        <f aca="false">前提条件!$C$64*D81*E81</f>
        <v>178250</v>
      </c>
      <c r="G81" s="34" t="n">
        <f aca="false">前提条件!$C$65*D81*E81</f>
        <v>2976</v>
      </c>
      <c r="H81" s="34" t="n">
        <f aca="false">(前提条件!$C$66+前提条件!$C$67)*D81</f>
        <v>6510</v>
      </c>
      <c r="I81" s="34" t="n">
        <f aca="false">前提条件!$C$74/12</f>
        <v>7500</v>
      </c>
      <c r="J81" s="93" t="n">
        <f aca="false">F81+G81-H81-I81</f>
        <v>167216</v>
      </c>
      <c r="K81" s="93" t="n">
        <f aca="false">K80+J81</f>
        <v>12131636</v>
      </c>
      <c r="L81" s="93" t="n">
        <f aca="false">MAX(前提条件!$C$94-K81,0)</f>
        <v>0</v>
      </c>
      <c r="M81" s="34" t="n">
        <f aca="false">前提条件!$C$10</f>
        <v>37500</v>
      </c>
      <c r="N81" s="93" t="n">
        <f aca="false">J81-M81-R81-S81</f>
        <v>125549.333333333</v>
      </c>
      <c r="O81" s="93" t="n">
        <f aca="false">O80+N81</f>
        <v>9048302.66666666</v>
      </c>
      <c r="P81" s="93" t="n">
        <f aca="false">前提条件!$C$8-SUM(M$8:M81)+IF(前提条件!$C$86&lt;3,前提条件!$C$85-SUM(R$8:R81),0)</f>
        <v>1916666.66666667</v>
      </c>
      <c r="Q81" s="94" t="str">
        <f aca="false">IF(AND(K81&gt;=前提条件!$C$94,K80&lt;前提条件!$C$94),"◀投資回収","")</f>
        <v/>
      </c>
      <c r="R81" s="34" t="n">
        <f aca="false">IF(A81&lt;=前提条件!$C$89*12,前提条件!$C$90,0)</f>
        <v>4166.66666666667</v>
      </c>
      <c r="S81" s="34" t="n">
        <f aca="false">IF(A81=1,前提条件!$C$91,0)</f>
        <v>0</v>
      </c>
    </row>
    <row r="82" customFormat="false" ht="15" hidden="false" customHeight="false" outlineLevel="0" collapsed="false">
      <c r="A82" s="88" t="n">
        <v>75</v>
      </c>
      <c r="B82" s="89" t="n">
        <f aca="false">EDATE(前提条件!$C$11,A82-1)</f>
        <v>48670</v>
      </c>
      <c r="C82" s="90" t="n">
        <f aca="false">YEAR(B82)+IF(MONTH(B82)&gt;=7,1,0)-2027+48</f>
        <v>54</v>
      </c>
      <c r="D82" s="91" t="n">
        <f aca="false">前提条件!$C$26/365*DAY(EOMONTH(B82,0))</f>
        <v>30</v>
      </c>
      <c r="E82" s="92" t="n">
        <v>1</v>
      </c>
      <c r="F82" s="34" t="n">
        <f aca="false">前提条件!$C$64*D82*E82</f>
        <v>172500</v>
      </c>
      <c r="G82" s="34" t="n">
        <f aca="false">前提条件!$C$65*D82*E82</f>
        <v>2880</v>
      </c>
      <c r="H82" s="34" t="n">
        <f aca="false">(前提条件!$C$66+前提条件!$C$67)*D82</f>
        <v>6300</v>
      </c>
      <c r="I82" s="34" t="n">
        <f aca="false">前提条件!$C$74/12</f>
        <v>7500</v>
      </c>
      <c r="J82" s="93" t="n">
        <f aca="false">F82+G82-H82-I82</f>
        <v>161580</v>
      </c>
      <c r="K82" s="93" t="n">
        <f aca="false">K81+J82</f>
        <v>12293216</v>
      </c>
      <c r="L82" s="93" t="n">
        <f aca="false">MAX(前提条件!$C$94-K82,0)</f>
        <v>0</v>
      </c>
      <c r="M82" s="34" t="n">
        <f aca="false">前提条件!$C$10</f>
        <v>37500</v>
      </c>
      <c r="N82" s="93" t="n">
        <f aca="false">J82-M82-R82-S82</f>
        <v>119913.333333333</v>
      </c>
      <c r="O82" s="93" t="n">
        <f aca="false">O81+N82</f>
        <v>9168216</v>
      </c>
      <c r="P82" s="93" t="n">
        <f aca="false">前提条件!$C$8-SUM(M$8:M82)+IF(前提条件!$C$86&lt;3,前提条件!$C$85-SUM(R$8:R82),0)</f>
        <v>1875000</v>
      </c>
      <c r="Q82" s="94" t="str">
        <f aca="false">IF(AND(K82&gt;=前提条件!$C$94,K81&lt;前提条件!$C$94),"◀投資回収","")</f>
        <v/>
      </c>
      <c r="R82" s="34" t="n">
        <f aca="false">IF(A82&lt;=前提条件!$C$89*12,前提条件!$C$90,0)</f>
        <v>4166.66666666667</v>
      </c>
      <c r="S82" s="34" t="n">
        <f aca="false">IF(A82=1,前提条件!$C$91,0)</f>
        <v>0</v>
      </c>
    </row>
    <row r="83" customFormat="false" ht="15" hidden="false" customHeight="false" outlineLevel="0" collapsed="false">
      <c r="A83" s="88" t="n">
        <v>76</v>
      </c>
      <c r="B83" s="89" t="n">
        <f aca="false">EDATE(前提条件!$C$11,A83-1)</f>
        <v>48700</v>
      </c>
      <c r="C83" s="90" t="n">
        <f aca="false">YEAR(B83)+IF(MONTH(B83)&gt;=7,1,0)-2027+48</f>
        <v>54</v>
      </c>
      <c r="D83" s="91" t="n">
        <f aca="false">前提条件!$C$26/365*DAY(EOMONTH(B83,0))</f>
        <v>31</v>
      </c>
      <c r="E83" s="92" t="n">
        <v>1</v>
      </c>
      <c r="F83" s="34" t="n">
        <f aca="false">前提条件!$C$64*D83*E83</f>
        <v>178250</v>
      </c>
      <c r="G83" s="34" t="n">
        <f aca="false">前提条件!$C$65*D83*E83</f>
        <v>2976</v>
      </c>
      <c r="H83" s="34" t="n">
        <f aca="false">(前提条件!$C$66+前提条件!$C$67)*D83</f>
        <v>6510</v>
      </c>
      <c r="I83" s="34" t="n">
        <f aca="false">前提条件!$C$74/12</f>
        <v>7500</v>
      </c>
      <c r="J83" s="93" t="n">
        <f aca="false">F83+G83-H83-I83</f>
        <v>167216</v>
      </c>
      <c r="K83" s="93" t="n">
        <f aca="false">K82+J83</f>
        <v>12460432</v>
      </c>
      <c r="L83" s="93" t="n">
        <f aca="false">MAX(前提条件!$C$94-K83,0)</f>
        <v>0</v>
      </c>
      <c r="M83" s="34" t="n">
        <f aca="false">前提条件!$C$10</f>
        <v>37500</v>
      </c>
      <c r="N83" s="93" t="n">
        <f aca="false">J83-M83-R83-S83</f>
        <v>125549.333333333</v>
      </c>
      <c r="O83" s="93" t="n">
        <f aca="false">O82+N83</f>
        <v>9293765.33333333</v>
      </c>
      <c r="P83" s="93" t="n">
        <f aca="false">前提条件!$C$8-SUM(M$8:M83)+IF(前提条件!$C$86&lt;3,前提条件!$C$85-SUM(R$8:R83),0)</f>
        <v>1833333.33333333</v>
      </c>
      <c r="Q83" s="94" t="str">
        <f aca="false">IF(AND(K83&gt;=前提条件!$C$94,K82&lt;前提条件!$C$94),"◀投資回収","")</f>
        <v/>
      </c>
      <c r="R83" s="34" t="n">
        <f aca="false">IF(A83&lt;=前提条件!$C$89*12,前提条件!$C$90,0)</f>
        <v>4166.66666666667</v>
      </c>
      <c r="S83" s="34" t="n">
        <f aca="false">IF(A83=1,前提条件!$C$91,0)</f>
        <v>0</v>
      </c>
    </row>
    <row r="84" customFormat="false" ht="15" hidden="false" customHeight="false" outlineLevel="0" collapsed="false">
      <c r="A84" s="88" t="n">
        <v>77</v>
      </c>
      <c r="B84" s="89" t="n">
        <f aca="false">EDATE(前提条件!$C$11,A84-1)</f>
        <v>48731</v>
      </c>
      <c r="C84" s="90" t="n">
        <f aca="false">YEAR(B84)+IF(MONTH(B84)&gt;=7,1,0)-2027+48</f>
        <v>54</v>
      </c>
      <c r="D84" s="91" t="n">
        <f aca="false">前提条件!$C$26/365*DAY(EOMONTH(B84,0))</f>
        <v>30</v>
      </c>
      <c r="E84" s="92" t="n">
        <v>1</v>
      </c>
      <c r="F84" s="34" t="n">
        <f aca="false">前提条件!$C$64*D84*E84</f>
        <v>172500</v>
      </c>
      <c r="G84" s="34" t="n">
        <f aca="false">前提条件!$C$65*D84*E84</f>
        <v>2880</v>
      </c>
      <c r="H84" s="34" t="n">
        <f aca="false">(前提条件!$C$66+前提条件!$C$67)*D84</f>
        <v>6300</v>
      </c>
      <c r="I84" s="34" t="n">
        <f aca="false">前提条件!$C$74/12</f>
        <v>7500</v>
      </c>
      <c r="J84" s="93" t="n">
        <f aca="false">F84+G84-H84-I84</f>
        <v>161580</v>
      </c>
      <c r="K84" s="93" t="n">
        <f aca="false">K83+J84</f>
        <v>12622012</v>
      </c>
      <c r="L84" s="93" t="n">
        <f aca="false">MAX(前提条件!$C$94-K84,0)</f>
        <v>0</v>
      </c>
      <c r="M84" s="34" t="n">
        <f aca="false">前提条件!$C$10</f>
        <v>37500</v>
      </c>
      <c r="N84" s="93" t="n">
        <f aca="false">J84-M84-R84-S84</f>
        <v>119913.333333333</v>
      </c>
      <c r="O84" s="93" t="n">
        <f aca="false">O83+N84</f>
        <v>9413678.66666666</v>
      </c>
      <c r="P84" s="93" t="n">
        <f aca="false">前提条件!$C$8-SUM(M$8:M84)+IF(前提条件!$C$86&lt;3,前提条件!$C$85-SUM(R$8:R84),0)</f>
        <v>1791666.66666667</v>
      </c>
      <c r="Q84" s="94" t="str">
        <f aca="false">IF(AND(K84&gt;=前提条件!$C$94,K83&lt;前提条件!$C$94),"◀投資回収","")</f>
        <v/>
      </c>
      <c r="R84" s="34" t="n">
        <f aca="false">IF(A84&lt;=前提条件!$C$89*12,前提条件!$C$90,0)</f>
        <v>4166.66666666667</v>
      </c>
      <c r="S84" s="34" t="n">
        <f aca="false">IF(A84=1,前提条件!$C$91,0)</f>
        <v>0</v>
      </c>
    </row>
    <row r="85" customFormat="false" ht="15" hidden="false" customHeight="false" outlineLevel="0" collapsed="false">
      <c r="A85" s="88" t="n">
        <v>78</v>
      </c>
      <c r="B85" s="89" t="n">
        <f aca="false">EDATE(前提条件!$C$11,A85-1)</f>
        <v>48761</v>
      </c>
      <c r="C85" s="90" t="n">
        <f aca="false">YEAR(B85)+IF(MONTH(B85)&gt;=7,1,0)-2027+48</f>
        <v>55</v>
      </c>
      <c r="D85" s="91" t="n">
        <f aca="false">前提条件!$C$26/365*DAY(EOMONTH(B85,0))</f>
        <v>31</v>
      </c>
      <c r="E85" s="92" t="n">
        <v>1</v>
      </c>
      <c r="F85" s="34" t="n">
        <f aca="false">前提条件!$C$64*D85*E85</f>
        <v>178250</v>
      </c>
      <c r="G85" s="34" t="n">
        <f aca="false">前提条件!$C$65*D85*E85</f>
        <v>2976</v>
      </c>
      <c r="H85" s="34" t="n">
        <f aca="false">(前提条件!$C$66+前提条件!$C$67)*D85</f>
        <v>6510</v>
      </c>
      <c r="I85" s="34" t="n">
        <f aca="false">前提条件!$C$74/12</f>
        <v>7500</v>
      </c>
      <c r="J85" s="93" t="n">
        <f aca="false">F85+G85-H85-I85</f>
        <v>167216</v>
      </c>
      <c r="K85" s="93" t="n">
        <f aca="false">K84+J85</f>
        <v>12789228</v>
      </c>
      <c r="L85" s="93" t="n">
        <f aca="false">MAX(前提条件!$C$94-K85,0)</f>
        <v>0</v>
      </c>
      <c r="M85" s="34" t="n">
        <f aca="false">前提条件!$C$10</f>
        <v>37500</v>
      </c>
      <c r="N85" s="93" t="n">
        <f aca="false">J85-M85-R85-S85</f>
        <v>125549.333333333</v>
      </c>
      <c r="O85" s="93" t="n">
        <f aca="false">O84+N85</f>
        <v>9539228</v>
      </c>
      <c r="P85" s="93" t="n">
        <f aca="false">前提条件!$C$8-SUM(M$8:M85)+IF(前提条件!$C$86&lt;3,前提条件!$C$85-SUM(R$8:R85),0)</f>
        <v>1750000</v>
      </c>
      <c r="Q85" s="94" t="str">
        <f aca="false">IF(AND(K85&gt;=前提条件!$C$94,K84&lt;前提条件!$C$94),"◀投資回収","")</f>
        <v/>
      </c>
      <c r="R85" s="34" t="n">
        <f aca="false">IF(A85&lt;=前提条件!$C$89*12,前提条件!$C$90,0)</f>
        <v>4166.66666666667</v>
      </c>
      <c r="S85" s="34" t="n">
        <f aca="false">IF(A85=1,前提条件!$C$91,0)</f>
        <v>0</v>
      </c>
    </row>
    <row r="86" customFormat="false" ht="15" hidden="false" customHeight="false" outlineLevel="0" collapsed="false">
      <c r="A86" s="88" t="n">
        <v>79</v>
      </c>
      <c r="B86" s="89" t="n">
        <f aca="false">EDATE(前提条件!$C$11,A86-1)</f>
        <v>48792</v>
      </c>
      <c r="C86" s="90" t="n">
        <f aca="false">YEAR(B86)+IF(MONTH(B86)&gt;=7,1,0)-2027+48</f>
        <v>55</v>
      </c>
      <c r="D86" s="91" t="n">
        <f aca="false">前提条件!$C$26/365*DAY(EOMONTH(B86,0))</f>
        <v>31</v>
      </c>
      <c r="E86" s="92" t="n">
        <v>1</v>
      </c>
      <c r="F86" s="34" t="n">
        <f aca="false">前提条件!$C$64*D86*E86</f>
        <v>178250</v>
      </c>
      <c r="G86" s="34" t="n">
        <f aca="false">前提条件!$C$65*D86*E86</f>
        <v>2976</v>
      </c>
      <c r="H86" s="34" t="n">
        <f aca="false">(前提条件!$C$66+前提条件!$C$67)*D86</f>
        <v>6510</v>
      </c>
      <c r="I86" s="34" t="n">
        <f aca="false">前提条件!$C$74/12</f>
        <v>7500</v>
      </c>
      <c r="J86" s="93" t="n">
        <f aca="false">F86+G86-H86-I86</f>
        <v>167216</v>
      </c>
      <c r="K86" s="93" t="n">
        <f aca="false">K85+J86</f>
        <v>12956444</v>
      </c>
      <c r="L86" s="93" t="n">
        <f aca="false">MAX(前提条件!$C$94-K86,0)</f>
        <v>0</v>
      </c>
      <c r="M86" s="34" t="n">
        <f aca="false">前提条件!$C$10</f>
        <v>37500</v>
      </c>
      <c r="N86" s="93" t="n">
        <f aca="false">J86-M86-R86-S86</f>
        <v>125549.333333333</v>
      </c>
      <c r="O86" s="93" t="n">
        <f aca="false">O85+N86</f>
        <v>9664777.33333333</v>
      </c>
      <c r="P86" s="93" t="n">
        <f aca="false">前提条件!$C$8-SUM(M$8:M86)+IF(前提条件!$C$86&lt;3,前提条件!$C$85-SUM(R$8:R86),0)</f>
        <v>1708333.33333333</v>
      </c>
      <c r="Q86" s="94" t="str">
        <f aca="false">IF(AND(K86&gt;=前提条件!$C$94,K85&lt;前提条件!$C$94),"◀投資回収","")</f>
        <v/>
      </c>
      <c r="R86" s="34" t="n">
        <f aca="false">IF(A86&lt;=前提条件!$C$89*12,前提条件!$C$90,0)</f>
        <v>4166.66666666667</v>
      </c>
      <c r="S86" s="34" t="n">
        <f aca="false">IF(A86=1,前提条件!$C$91,0)</f>
        <v>0</v>
      </c>
    </row>
    <row r="87" customFormat="false" ht="15" hidden="false" customHeight="false" outlineLevel="0" collapsed="false">
      <c r="A87" s="88" t="n">
        <v>80</v>
      </c>
      <c r="B87" s="89" t="n">
        <f aca="false">EDATE(前提条件!$C$11,A87-1)</f>
        <v>48823</v>
      </c>
      <c r="C87" s="90" t="n">
        <f aca="false">YEAR(B87)+IF(MONTH(B87)&gt;=7,1,0)-2027+48</f>
        <v>55</v>
      </c>
      <c r="D87" s="91" t="n">
        <f aca="false">前提条件!$C$26/365*DAY(EOMONTH(B87,0))</f>
        <v>30</v>
      </c>
      <c r="E87" s="92" t="n">
        <v>1</v>
      </c>
      <c r="F87" s="34" t="n">
        <f aca="false">前提条件!$C$64*D87*E87</f>
        <v>172500</v>
      </c>
      <c r="G87" s="34" t="n">
        <f aca="false">前提条件!$C$65*D87*E87</f>
        <v>2880</v>
      </c>
      <c r="H87" s="34" t="n">
        <f aca="false">(前提条件!$C$66+前提条件!$C$67)*D87</f>
        <v>6300</v>
      </c>
      <c r="I87" s="34" t="n">
        <f aca="false">前提条件!$C$74/12</f>
        <v>7500</v>
      </c>
      <c r="J87" s="93" t="n">
        <f aca="false">F87+G87-H87-I87</f>
        <v>161580</v>
      </c>
      <c r="K87" s="93" t="n">
        <f aca="false">K86+J87</f>
        <v>13118024</v>
      </c>
      <c r="L87" s="93" t="n">
        <f aca="false">MAX(前提条件!$C$94-K87,0)</f>
        <v>0</v>
      </c>
      <c r="M87" s="34" t="n">
        <f aca="false">前提条件!$C$10</f>
        <v>37500</v>
      </c>
      <c r="N87" s="93" t="n">
        <f aca="false">J87-M87-R87-S87</f>
        <v>119913.333333333</v>
      </c>
      <c r="O87" s="93" t="n">
        <f aca="false">O86+N87</f>
        <v>9784690.66666667</v>
      </c>
      <c r="P87" s="93" t="n">
        <f aca="false">前提条件!$C$8-SUM(M$8:M87)+IF(前提条件!$C$86&lt;3,前提条件!$C$85-SUM(R$8:R87),0)</f>
        <v>1666666.66666667</v>
      </c>
      <c r="Q87" s="94" t="str">
        <f aca="false">IF(AND(K87&gt;=前提条件!$C$94,K86&lt;前提条件!$C$94),"◀投資回収","")</f>
        <v/>
      </c>
      <c r="R87" s="34" t="n">
        <f aca="false">IF(A87&lt;=前提条件!$C$89*12,前提条件!$C$90,0)</f>
        <v>4166.66666666667</v>
      </c>
      <c r="S87" s="34" t="n">
        <f aca="false">IF(A87=1,前提条件!$C$91,0)</f>
        <v>0</v>
      </c>
    </row>
    <row r="88" customFormat="false" ht="15" hidden="false" customHeight="false" outlineLevel="0" collapsed="false">
      <c r="A88" s="88" t="n">
        <v>81</v>
      </c>
      <c r="B88" s="89" t="n">
        <f aca="false">EDATE(前提条件!$C$11,A88-1)</f>
        <v>48853</v>
      </c>
      <c r="C88" s="90" t="n">
        <f aca="false">YEAR(B88)+IF(MONTH(B88)&gt;=7,1,0)-2027+48</f>
        <v>55</v>
      </c>
      <c r="D88" s="91" t="n">
        <f aca="false">前提条件!$C$26/365*DAY(EOMONTH(B88,0))</f>
        <v>31</v>
      </c>
      <c r="E88" s="92" t="n">
        <v>1</v>
      </c>
      <c r="F88" s="34" t="n">
        <f aca="false">前提条件!$C$64*D88*E88</f>
        <v>178250</v>
      </c>
      <c r="G88" s="34" t="n">
        <f aca="false">前提条件!$C$65*D88*E88</f>
        <v>2976</v>
      </c>
      <c r="H88" s="34" t="n">
        <f aca="false">(前提条件!$C$66+前提条件!$C$67)*D88</f>
        <v>6510</v>
      </c>
      <c r="I88" s="34" t="n">
        <f aca="false">前提条件!$C$74/12</f>
        <v>7500</v>
      </c>
      <c r="J88" s="93" t="n">
        <f aca="false">F88+G88-H88-I88</f>
        <v>167216</v>
      </c>
      <c r="K88" s="93" t="n">
        <f aca="false">K87+J88</f>
        <v>13285240</v>
      </c>
      <c r="L88" s="93" t="n">
        <f aca="false">MAX(前提条件!$C$94-K88,0)</f>
        <v>0</v>
      </c>
      <c r="M88" s="34" t="n">
        <f aca="false">前提条件!$C$10</f>
        <v>37500</v>
      </c>
      <c r="N88" s="93" t="n">
        <f aca="false">J88-M88-R88-S88</f>
        <v>125549.333333333</v>
      </c>
      <c r="O88" s="93" t="n">
        <f aca="false">O87+N88</f>
        <v>9910240</v>
      </c>
      <c r="P88" s="93" t="n">
        <f aca="false">前提条件!$C$8-SUM(M$8:M88)+IF(前提条件!$C$86&lt;3,前提条件!$C$85-SUM(R$8:R88),0)</f>
        <v>1625000</v>
      </c>
      <c r="Q88" s="94" t="str">
        <f aca="false">IF(AND(K88&gt;=前提条件!$C$94,K87&lt;前提条件!$C$94),"◀投資回収","")</f>
        <v/>
      </c>
      <c r="R88" s="34" t="n">
        <f aca="false">IF(A88&lt;=前提条件!$C$89*12,前提条件!$C$90,0)</f>
        <v>4166.66666666667</v>
      </c>
      <c r="S88" s="34" t="n">
        <f aca="false">IF(A88=1,前提条件!$C$91,0)</f>
        <v>0</v>
      </c>
    </row>
    <row r="89" customFormat="false" ht="15" hidden="false" customHeight="false" outlineLevel="0" collapsed="false">
      <c r="A89" s="88" t="n">
        <v>82</v>
      </c>
      <c r="B89" s="89" t="n">
        <f aca="false">EDATE(前提条件!$C$11,A89-1)</f>
        <v>48884</v>
      </c>
      <c r="C89" s="90" t="n">
        <f aca="false">YEAR(B89)+IF(MONTH(B89)&gt;=7,1,0)-2027+48</f>
        <v>55</v>
      </c>
      <c r="D89" s="91" t="n">
        <f aca="false">前提条件!$C$26/365*DAY(EOMONTH(B89,0))</f>
        <v>30</v>
      </c>
      <c r="E89" s="92" t="n">
        <v>1</v>
      </c>
      <c r="F89" s="34" t="n">
        <f aca="false">前提条件!$C$64*D89*E89</f>
        <v>172500</v>
      </c>
      <c r="G89" s="34" t="n">
        <f aca="false">前提条件!$C$65*D89*E89</f>
        <v>2880</v>
      </c>
      <c r="H89" s="34" t="n">
        <f aca="false">(前提条件!$C$66+前提条件!$C$67)*D89</f>
        <v>6300</v>
      </c>
      <c r="I89" s="34" t="n">
        <f aca="false">前提条件!$C$74/12</f>
        <v>7500</v>
      </c>
      <c r="J89" s="93" t="n">
        <f aca="false">F89+G89-H89-I89</f>
        <v>161580</v>
      </c>
      <c r="K89" s="93" t="n">
        <f aca="false">K88+J89</f>
        <v>13446820</v>
      </c>
      <c r="L89" s="93" t="n">
        <f aca="false">MAX(前提条件!$C$94-K89,0)</f>
        <v>0</v>
      </c>
      <c r="M89" s="34" t="n">
        <f aca="false">前提条件!$C$10</f>
        <v>37500</v>
      </c>
      <c r="N89" s="93" t="n">
        <f aca="false">J89-M89-R89-S89</f>
        <v>119913.333333333</v>
      </c>
      <c r="O89" s="93" t="n">
        <f aca="false">O88+N89</f>
        <v>10030153.3333333</v>
      </c>
      <c r="P89" s="93" t="n">
        <f aca="false">前提条件!$C$8-SUM(M$8:M89)+IF(前提条件!$C$86&lt;3,前提条件!$C$85-SUM(R$8:R89),0)</f>
        <v>1583333.33333333</v>
      </c>
      <c r="Q89" s="94" t="str">
        <f aca="false">IF(AND(K89&gt;=前提条件!$C$94,K88&lt;前提条件!$C$94),"◀投資回収","")</f>
        <v/>
      </c>
      <c r="R89" s="34" t="n">
        <f aca="false">IF(A89&lt;=前提条件!$C$89*12,前提条件!$C$90,0)</f>
        <v>4166.66666666667</v>
      </c>
      <c r="S89" s="34" t="n">
        <f aca="false">IF(A89=1,前提条件!$C$91,0)</f>
        <v>0</v>
      </c>
    </row>
    <row r="90" customFormat="false" ht="15" hidden="false" customHeight="false" outlineLevel="0" collapsed="false">
      <c r="A90" s="88" t="n">
        <v>83</v>
      </c>
      <c r="B90" s="89" t="n">
        <f aca="false">EDATE(前提条件!$C$11,A90-1)</f>
        <v>48914</v>
      </c>
      <c r="C90" s="90" t="n">
        <f aca="false">YEAR(B90)+IF(MONTH(B90)&gt;=7,1,0)-2027+48</f>
        <v>55</v>
      </c>
      <c r="D90" s="91" t="n">
        <f aca="false">前提条件!$C$26/365*DAY(EOMONTH(B90,0))</f>
        <v>31</v>
      </c>
      <c r="E90" s="92" t="n">
        <v>1</v>
      </c>
      <c r="F90" s="34" t="n">
        <f aca="false">前提条件!$C$64*D90*E90</f>
        <v>178250</v>
      </c>
      <c r="G90" s="34" t="n">
        <f aca="false">前提条件!$C$65*D90*E90</f>
        <v>2976</v>
      </c>
      <c r="H90" s="34" t="n">
        <f aca="false">(前提条件!$C$66+前提条件!$C$67)*D90</f>
        <v>6510</v>
      </c>
      <c r="I90" s="34" t="n">
        <f aca="false">前提条件!$C$74/12</f>
        <v>7500</v>
      </c>
      <c r="J90" s="93" t="n">
        <f aca="false">F90+G90-H90-I90</f>
        <v>167216</v>
      </c>
      <c r="K90" s="93" t="n">
        <f aca="false">K89+J90</f>
        <v>13614036</v>
      </c>
      <c r="L90" s="93" t="n">
        <f aca="false">MAX(前提条件!$C$94-K90,0)</f>
        <v>0</v>
      </c>
      <c r="M90" s="34" t="n">
        <f aca="false">前提条件!$C$10</f>
        <v>37500</v>
      </c>
      <c r="N90" s="93" t="n">
        <f aca="false">J90-M90-R90-S90</f>
        <v>125549.333333333</v>
      </c>
      <c r="O90" s="93" t="n">
        <f aca="false">O89+N90</f>
        <v>10155702.6666667</v>
      </c>
      <c r="P90" s="93" t="n">
        <f aca="false">前提条件!$C$8-SUM(M$8:M90)+IF(前提条件!$C$86&lt;3,前提条件!$C$85-SUM(R$8:R90),0)</f>
        <v>1541666.66666667</v>
      </c>
      <c r="Q90" s="94" t="str">
        <f aca="false">IF(AND(K90&gt;=前提条件!$C$94,K89&lt;前提条件!$C$94),"◀投資回収","")</f>
        <v/>
      </c>
      <c r="R90" s="34" t="n">
        <f aca="false">IF(A90&lt;=前提条件!$C$89*12,前提条件!$C$90,0)</f>
        <v>4166.66666666667</v>
      </c>
      <c r="S90" s="34" t="n">
        <f aca="false">IF(A90=1,前提条件!$C$91,0)</f>
        <v>0</v>
      </c>
    </row>
    <row r="91" customFormat="false" ht="15" hidden="false" customHeight="false" outlineLevel="0" collapsed="false">
      <c r="A91" s="88" t="n">
        <v>84</v>
      </c>
      <c r="B91" s="89" t="n">
        <f aca="false">EDATE(前提条件!$C$11,A91-1)</f>
        <v>48945</v>
      </c>
      <c r="C91" s="90" t="n">
        <f aca="false">YEAR(B91)+IF(MONTH(B91)&gt;=7,1,0)-2027+48</f>
        <v>55</v>
      </c>
      <c r="D91" s="91" t="n">
        <f aca="false">前提条件!$C$26/365*DAY(EOMONTH(B91,0))</f>
        <v>31</v>
      </c>
      <c r="E91" s="92" t="n">
        <v>1</v>
      </c>
      <c r="F91" s="34" t="n">
        <f aca="false">前提条件!$C$64*D91*E91</f>
        <v>178250</v>
      </c>
      <c r="G91" s="34" t="n">
        <f aca="false">前提条件!$C$65*D91*E91</f>
        <v>2976</v>
      </c>
      <c r="H91" s="34" t="n">
        <f aca="false">(前提条件!$C$66+前提条件!$C$67)*D91</f>
        <v>6510</v>
      </c>
      <c r="I91" s="34" t="n">
        <f aca="false">前提条件!$C$74/12</f>
        <v>7500</v>
      </c>
      <c r="J91" s="93" t="n">
        <f aca="false">F91+G91-H91-I91</f>
        <v>167216</v>
      </c>
      <c r="K91" s="93" t="n">
        <f aca="false">K90+J91</f>
        <v>13781252</v>
      </c>
      <c r="L91" s="93" t="n">
        <f aca="false">MAX(前提条件!$C$94-K91,0)</f>
        <v>0</v>
      </c>
      <c r="M91" s="34" t="n">
        <f aca="false">前提条件!$C$10</f>
        <v>37500</v>
      </c>
      <c r="N91" s="93" t="n">
        <f aca="false">J91-M91-R91-S91</f>
        <v>125549.333333333</v>
      </c>
      <c r="O91" s="93" t="n">
        <f aca="false">O90+N91</f>
        <v>10281252</v>
      </c>
      <c r="P91" s="93" t="n">
        <f aca="false">前提条件!$C$8-SUM(M$8:M91)+IF(前提条件!$C$86&lt;3,前提条件!$C$85-SUM(R$8:R91),0)</f>
        <v>1500000</v>
      </c>
      <c r="Q91" s="94" t="str">
        <f aca="false">IF(AND(K91&gt;=前提条件!$C$94,K90&lt;前提条件!$C$94),"◀投資回収","")</f>
        <v/>
      </c>
      <c r="R91" s="34" t="n">
        <f aca="false">IF(A91&lt;=前提条件!$C$89*12,前提条件!$C$90,0)</f>
        <v>4166.66666666667</v>
      </c>
      <c r="S91" s="34" t="n">
        <f aca="false">IF(A91=1,前提条件!$C$91,0)</f>
        <v>0</v>
      </c>
    </row>
    <row r="92" customFormat="false" ht="15" hidden="false" customHeight="false" outlineLevel="0" collapsed="false">
      <c r="A92" s="88" t="n">
        <v>85</v>
      </c>
      <c r="B92" s="89" t="n">
        <f aca="false">EDATE(前提条件!$C$11,A92-1)</f>
        <v>48976</v>
      </c>
      <c r="C92" s="90" t="n">
        <f aca="false">YEAR(B92)+IF(MONTH(B92)&gt;=7,1,0)-2027+48</f>
        <v>55</v>
      </c>
      <c r="D92" s="91" t="n">
        <f aca="false">前提条件!$C$26/365*DAY(EOMONTH(B92,0))</f>
        <v>28</v>
      </c>
      <c r="E92" s="92" t="n">
        <v>1</v>
      </c>
      <c r="F92" s="34" t="n">
        <f aca="false">前提条件!$C$64*D92*E92</f>
        <v>161000</v>
      </c>
      <c r="G92" s="34" t="n">
        <f aca="false">前提条件!$C$65*D92*E92</f>
        <v>2688</v>
      </c>
      <c r="H92" s="34" t="n">
        <f aca="false">(前提条件!$C$66+前提条件!$C$67)*D92</f>
        <v>5880</v>
      </c>
      <c r="I92" s="34" t="n">
        <f aca="false">前提条件!$C$74/12</f>
        <v>7500</v>
      </c>
      <c r="J92" s="93" t="n">
        <f aca="false">F92+G92-H92-I92</f>
        <v>150308</v>
      </c>
      <c r="K92" s="93" t="n">
        <f aca="false">K91+J92</f>
        <v>13931560</v>
      </c>
      <c r="L92" s="93" t="n">
        <f aca="false">MAX(前提条件!$C$94-K92,0)</f>
        <v>0</v>
      </c>
      <c r="M92" s="34" t="n">
        <f aca="false">前提条件!$C$10</f>
        <v>37500</v>
      </c>
      <c r="N92" s="93" t="n">
        <f aca="false">J92-M92-R92-S92</f>
        <v>108641.333333333</v>
      </c>
      <c r="O92" s="93" t="n">
        <f aca="false">O91+N92</f>
        <v>10389893.3333333</v>
      </c>
      <c r="P92" s="93" t="n">
        <f aca="false">前提条件!$C$8-SUM(M$8:M92)+IF(前提条件!$C$86&lt;3,前提条件!$C$85-SUM(R$8:R92),0)</f>
        <v>1458333.33333333</v>
      </c>
      <c r="Q92" s="94" t="str">
        <f aca="false">IF(AND(K92&gt;=前提条件!$C$94,K91&lt;前提条件!$C$94),"◀投資回収","")</f>
        <v/>
      </c>
      <c r="R92" s="34" t="n">
        <f aca="false">IF(A92&lt;=前提条件!$C$89*12,前提条件!$C$90,0)</f>
        <v>4166.66666666667</v>
      </c>
      <c r="S92" s="34" t="n">
        <f aca="false">IF(A92=1,前提条件!$C$91,0)</f>
        <v>0</v>
      </c>
    </row>
    <row r="93" customFormat="false" ht="15" hidden="false" customHeight="false" outlineLevel="0" collapsed="false">
      <c r="A93" s="88" t="n">
        <v>86</v>
      </c>
      <c r="B93" s="89" t="n">
        <f aca="false">EDATE(前提条件!$C$11,A93-1)</f>
        <v>49004</v>
      </c>
      <c r="C93" s="90" t="n">
        <f aca="false">YEAR(B93)+IF(MONTH(B93)&gt;=7,1,0)-2027+48</f>
        <v>55</v>
      </c>
      <c r="D93" s="91" t="n">
        <f aca="false">前提条件!$C$26/365*DAY(EOMONTH(B93,0))</f>
        <v>31</v>
      </c>
      <c r="E93" s="92" t="n">
        <v>1</v>
      </c>
      <c r="F93" s="34" t="n">
        <f aca="false">前提条件!$C$64*D93*E93</f>
        <v>178250</v>
      </c>
      <c r="G93" s="34" t="n">
        <f aca="false">前提条件!$C$65*D93*E93</f>
        <v>2976</v>
      </c>
      <c r="H93" s="34" t="n">
        <f aca="false">(前提条件!$C$66+前提条件!$C$67)*D93</f>
        <v>6510</v>
      </c>
      <c r="I93" s="34" t="n">
        <f aca="false">前提条件!$C$74/12</f>
        <v>7500</v>
      </c>
      <c r="J93" s="93" t="n">
        <f aca="false">F93+G93-H93-I93</f>
        <v>167216</v>
      </c>
      <c r="K93" s="93" t="n">
        <f aca="false">K92+J93</f>
        <v>14098776</v>
      </c>
      <c r="L93" s="93" t="n">
        <f aca="false">MAX(前提条件!$C$94-K93,0)</f>
        <v>0</v>
      </c>
      <c r="M93" s="34" t="n">
        <f aca="false">前提条件!$C$10</f>
        <v>37500</v>
      </c>
      <c r="N93" s="93" t="n">
        <f aca="false">J93-M93-R93-S93</f>
        <v>125549.333333333</v>
      </c>
      <c r="O93" s="93" t="n">
        <f aca="false">O92+N93</f>
        <v>10515442.6666667</v>
      </c>
      <c r="P93" s="93" t="n">
        <f aca="false">前提条件!$C$8-SUM(M$8:M93)+IF(前提条件!$C$86&lt;3,前提条件!$C$85-SUM(R$8:R93),0)</f>
        <v>1416666.66666667</v>
      </c>
      <c r="Q93" s="94" t="str">
        <f aca="false">IF(AND(K93&gt;=前提条件!$C$94,K92&lt;前提条件!$C$94),"◀投資回収","")</f>
        <v/>
      </c>
      <c r="R93" s="34" t="n">
        <f aca="false">IF(A93&lt;=前提条件!$C$89*12,前提条件!$C$90,0)</f>
        <v>4166.66666666667</v>
      </c>
      <c r="S93" s="34" t="n">
        <f aca="false">IF(A93=1,前提条件!$C$91,0)</f>
        <v>0</v>
      </c>
    </row>
    <row r="94" customFormat="false" ht="15" hidden="false" customHeight="false" outlineLevel="0" collapsed="false">
      <c r="A94" s="88" t="n">
        <v>87</v>
      </c>
      <c r="B94" s="89" t="n">
        <f aca="false">EDATE(前提条件!$C$11,A94-1)</f>
        <v>49035</v>
      </c>
      <c r="C94" s="90" t="n">
        <f aca="false">YEAR(B94)+IF(MONTH(B94)&gt;=7,1,0)-2027+48</f>
        <v>55</v>
      </c>
      <c r="D94" s="91" t="n">
        <f aca="false">前提条件!$C$26/365*DAY(EOMONTH(B94,0))</f>
        <v>30</v>
      </c>
      <c r="E94" s="92" t="n">
        <v>1</v>
      </c>
      <c r="F94" s="34" t="n">
        <f aca="false">前提条件!$C$64*D94*E94</f>
        <v>172500</v>
      </c>
      <c r="G94" s="34" t="n">
        <f aca="false">前提条件!$C$65*D94*E94</f>
        <v>2880</v>
      </c>
      <c r="H94" s="34" t="n">
        <f aca="false">(前提条件!$C$66+前提条件!$C$67)*D94</f>
        <v>6300</v>
      </c>
      <c r="I94" s="34" t="n">
        <f aca="false">前提条件!$C$74/12</f>
        <v>7500</v>
      </c>
      <c r="J94" s="93" t="n">
        <f aca="false">F94+G94-H94-I94</f>
        <v>161580</v>
      </c>
      <c r="K94" s="93" t="n">
        <f aca="false">K93+J94</f>
        <v>14260356</v>
      </c>
      <c r="L94" s="93" t="n">
        <f aca="false">MAX(前提条件!$C$94-K94,0)</f>
        <v>0</v>
      </c>
      <c r="M94" s="34" t="n">
        <f aca="false">前提条件!$C$10</f>
        <v>37500</v>
      </c>
      <c r="N94" s="93" t="n">
        <f aca="false">J94-M94-R94-S94</f>
        <v>119913.333333333</v>
      </c>
      <c r="O94" s="93" t="n">
        <f aca="false">O93+N94</f>
        <v>10635356</v>
      </c>
      <c r="P94" s="93" t="n">
        <f aca="false">前提条件!$C$8-SUM(M$8:M94)+IF(前提条件!$C$86&lt;3,前提条件!$C$85-SUM(R$8:R94),0)</f>
        <v>1375000</v>
      </c>
      <c r="Q94" s="94" t="str">
        <f aca="false">IF(AND(K94&gt;=前提条件!$C$94,K93&lt;前提条件!$C$94),"◀投資回収","")</f>
        <v/>
      </c>
      <c r="R94" s="34" t="n">
        <f aca="false">IF(A94&lt;=前提条件!$C$89*12,前提条件!$C$90,0)</f>
        <v>4166.66666666667</v>
      </c>
      <c r="S94" s="34" t="n">
        <f aca="false">IF(A94=1,前提条件!$C$91,0)</f>
        <v>0</v>
      </c>
    </row>
    <row r="95" customFormat="false" ht="15" hidden="false" customHeight="false" outlineLevel="0" collapsed="false">
      <c r="A95" s="88" t="n">
        <v>88</v>
      </c>
      <c r="B95" s="89" t="n">
        <f aca="false">EDATE(前提条件!$C$11,A95-1)</f>
        <v>49065</v>
      </c>
      <c r="C95" s="90" t="n">
        <f aca="false">YEAR(B95)+IF(MONTH(B95)&gt;=7,1,0)-2027+48</f>
        <v>55</v>
      </c>
      <c r="D95" s="91" t="n">
        <f aca="false">前提条件!$C$26/365*DAY(EOMONTH(B95,0))</f>
        <v>31</v>
      </c>
      <c r="E95" s="92" t="n">
        <v>1</v>
      </c>
      <c r="F95" s="34" t="n">
        <f aca="false">前提条件!$C$64*D95*E95</f>
        <v>178250</v>
      </c>
      <c r="G95" s="34" t="n">
        <f aca="false">前提条件!$C$65*D95*E95</f>
        <v>2976</v>
      </c>
      <c r="H95" s="34" t="n">
        <f aca="false">(前提条件!$C$66+前提条件!$C$67)*D95</f>
        <v>6510</v>
      </c>
      <c r="I95" s="34" t="n">
        <f aca="false">前提条件!$C$74/12</f>
        <v>7500</v>
      </c>
      <c r="J95" s="93" t="n">
        <f aca="false">F95+G95-H95-I95</f>
        <v>167216</v>
      </c>
      <c r="K95" s="93" t="n">
        <f aca="false">K94+J95</f>
        <v>14427572</v>
      </c>
      <c r="L95" s="93" t="n">
        <f aca="false">MAX(前提条件!$C$94-K95,0)</f>
        <v>0</v>
      </c>
      <c r="M95" s="34" t="n">
        <f aca="false">前提条件!$C$10</f>
        <v>37500</v>
      </c>
      <c r="N95" s="93" t="n">
        <f aca="false">J95-M95-R95-S95</f>
        <v>125549.333333333</v>
      </c>
      <c r="O95" s="93" t="n">
        <f aca="false">O94+N95</f>
        <v>10760905.3333333</v>
      </c>
      <c r="P95" s="93" t="n">
        <f aca="false">前提条件!$C$8-SUM(M$8:M95)+IF(前提条件!$C$86&lt;3,前提条件!$C$85-SUM(R$8:R95),0)</f>
        <v>1333333.33333333</v>
      </c>
      <c r="Q95" s="94" t="str">
        <f aca="false">IF(AND(K95&gt;=前提条件!$C$94,K94&lt;前提条件!$C$94),"◀投資回収","")</f>
        <v/>
      </c>
      <c r="R95" s="34" t="n">
        <f aca="false">IF(A95&lt;=前提条件!$C$89*12,前提条件!$C$90,0)</f>
        <v>4166.66666666667</v>
      </c>
      <c r="S95" s="34" t="n">
        <f aca="false">IF(A95=1,前提条件!$C$91,0)</f>
        <v>0</v>
      </c>
    </row>
    <row r="96" customFormat="false" ht="15" hidden="false" customHeight="false" outlineLevel="0" collapsed="false">
      <c r="A96" s="88" t="n">
        <v>89</v>
      </c>
      <c r="B96" s="89" t="n">
        <f aca="false">EDATE(前提条件!$C$11,A96-1)</f>
        <v>49096</v>
      </c>
      <c r="C96" s="90" t="n">
        <f aca="false">YEAR(B96)+IF(MONTH(B96)&gt;=7,1,0)-2027+48</f>
        <v>55</v>
      </c>
      <c r="D96" s="91" t="n">
        <f aca="false">前提条件!$C$26/365*DAY(EOMONTH(B96,0))</f>
        <v>30</v>
      </c>
      <c r="E96" s="92" t="n">
        <v>1</v>
      </c>
      <c r="F96" s="34" t="n">
        <f aca="false">前提条件!$C$64*D96*E96</f>
        <v>172500</v>
      </c>
      <c r="G96" s="34" t="n">
        <f aca="false">前提条件!$C$65*D96*E96</f>
        <v>2880</v>
      </c>
      <c r="H96" s="34" t="n">
        <f aca="false">(前提条件!$C$66+前提条件!$C$67)*D96</f>
        <v>6300</v>
      </c>
      <c r="I96" s="34" t="n">
        <f aca="false">前提条件!$C$74/12</f>
        <v>7500</v>
      </c>
      <c r="J96" s="93" t="n">
        <f aca="false">F96+G96-H96-I96</f>
        <v>161580</v>
      </c>
      <c r="K96" s="93" t="n">
        <f aca="false">K95+J96</f>
        <v>14589152</v>
      </c>
      <c r="L96" s="93" t="n">
        <f aca="false">MAX(前提条件!$C$94-K96,0)</f>
        <v>0</v>
      </c>
      <c r="M96" s="34" t="n">
        <f aca="false">前提条件!$C$10</f>
        <v>37500</v>
      </c>
      <c r="N96" s="93" t="n">
        <f aca="false">J96-M96-R96-S96</f>
        <v>119913.333333333</v>
      </c>
      <c r="O96" s="93" t="n">
        <f aca="false">O95+N96</f>
        <v>10880818.6666667</v>
      </c>
      <c r="P96" s="93" t="n">
        <f aca="false">前提条件!$C$8-SUM(M$8:M96)+IF(前提条件!$C$86&lt;3,前提条件!$C$85-SUM(R$8:R96),0)</f>
        <v>1291666.66666667</v>
      </c>
      <c r="Q96" s="94" t="str">
        <f aca="false">IF(AND(K96&gt;=前提条件!$C$94,K95&lt;前提条件!$C$94),"◀投資回収","")</f>
        <v/>
      </c>
      <c r="R96" s="34" t="n">
        <f aca="false">IF(A96&lt;=前提条件!$C$89*12,前提条件!$C$90,0)</f>
        <v>4166.66666666667</v>
      </c>
      <c r="S96" s="34" t="n">
        <f aca="false">IF(A96=1,前提条件!$C$91,0)</f>
        <v>0</v>
      </c>
    </row>
    <row r="97" customFormat="false" ht="15" hidden="false" customHeight="false" outlineLevel="0" collapsed="false">
      <c r="A97" s="88" t="n">
        <v>90</v>
      </c>
      <c r="B97" s="89" t="n">
        <f aca="false">EDATE(前提条件!$C$11,A97-1)</f>
        <v>49126</v>
      </c>
      <c r="C97" s="90" t="n">
        <f aca="false">YEAR(B97)+IF(MONTH(B97)&gt;=7,1,0)-2027+48</f>
        <v>56</v>
      </c>
      <c r="D97" s="91" t="n">
        <f aca="false">前提条件!$C$26/365*DAY(EOMONTH(B97,0))</f>
        <v>31</v>
      </c>
      <c r="E97" s="92" t="n">
        <v>1</v>
      </c>
      <c r="F97" s="34" t="n">
        <f aca="false">前提条件!$C$64*D97*E97</f>
        <v>178250</v>
      </c>
      <c r="G97" s="34" t="n">
        <f aca="false">前提条件!$C$65*D97*E97</f>
        <v>2976</v>
      </c>
      <c r="H97" s="34" t="n">
        <f aca="false">(前提条件!$C$66+前提条件!$C$67)*D97</f>
        <v>6510</v>
      </c>
      <c r="I97" s="34" t="n">
        <f aca="false">前提条件!$C$74/12</f>
        <v>7500</v>
      </c>
      <c r="J97" s="93" t="n">
        <f aca="false">F97+G97-H97-I97</f>
        <v>167216</v>
      </c>
      <c r="K97" s="93" t="n">
        <f aca="false">K96+J97</f>
        <v>14756368</v>
      </c>
      <c r="L97" s="93" t="n">
        <f aca="false">MAX(前提条件!$C$94-K97,0)</f>
        <v>0</v>
      </c>
      <c r="M97" s="34" t="n">
        <f aca="false">前提条件!$C$10</f>
        <v>37500</v>
      </c>
      <c r="N97" s="93" t="n">
        <f aca="false">J97-M97-R97-S97</f>
        <v>125549.333333333</v>
      </c>
      <c r="O97" s="93" t="n">
        <f aca="false">O96+N97</f>
        <v>11006368</v>
      </c>
      <c r="P97" s="93" t="n">
        <f aca="false">前提条件!$C$8-SUM(M$8:M97)+IF(前提条件!$C$86&lt;3,前提条件!$C$85-SUM(R$8:R97),0)</f>
        <v>1250000</v>
      </c>
      <c r="Q97" s="94" t="str">
        <f aca="false">IF(AND(K97&gt;=前提条件!$C$94,K96&lt;前提条件!$C$94),"◀投資回収","")</f>
        <v/>
      </c>
      <c r="R97" s="34" t="n">
        <f aca="false">IF(A97&lt;=前提条件!$C$89*12,前提条件!$C$90,0)</f>
        <v>4166.66666666667</v>
      </c>
      <c r="S97" s="34" t="n">
        <f aca="false">IF(A97=1,前提条件!$C$91,0)</f>
        <v>0</v>
      </c>
    </row>
    <row r="98" customFormat="false" ht="15" hidden="false" customHeight="false" outlineLevel="0" collapsed="false">
      <c r="A98" s="88" t="n">
        <v>91</v>
      </c>
      <c r="B98" s="89" t="n">
        <f aca="false">EDATE(前提条件!$C$11,A98-1)</f>
        <v>49157</v>
      </c>
      <c r="C98" s="90" t="n">
        <f aca="false">YEAR(B98)+IF(MONTH(B98)&gt;=7,1,0)-2027+48</f>
        <v>56</v>
      </c>
      <c r="D98" s="91" t="n">
        <f aca="false">前提条件!$C$26/365*DAY(EOMONTH(B98,0))</f>
        <v>31</v>
      </c>
      <c r="E98" s="92" t="n">
        <v>1</v>
      </c>
      <c r="F98" s="34" t="n">
        <f aca="false">前提条件!$C$64*D98*E98</f>
        <v>178250</v>
      </c>
      <c r="G98" s="34" t="n">
        <f aca="false">前提条件!$C$65*D98*E98</f>
        <v>2976</v>
      </c>
      <c r="H98" s="34" t="n">
        <f aca="false">(前提条件!$C$66+前提条件!$C$67)*D98</f>
        <v>6510</v>
      </c>
      <c r="I98" s="34" t="n">
        <f aca="false">前提条件!$C$74/12</f>
        <v>7500</v>
      </c>
      <c r="J98" s="93" t="n">
        <f aca="false">F98+G98-H98-I98</f>
        <v>167216</v>
      </c>
      <c r="K98" s="93" t="n">
        <f aca="false">K97+J98</f>
        <v>14923584</v>
      </c>
      <c r="L98" s="93" t="n">
        <f aca="false">MAX(前提条件!$C$94-K98,0)</f>
        <v>0</v>
      </c>
      <c r="M98" s="34" t="n">
        <f aca="false">前提条件!$C$10</f>
        <v>37500</v>
      </c>
      <c r="N98" s="93" t="n">
        <f aca="false">J98-M98-R98-S98</f>
        <v>125549.333333333</v>
      </c>
      <c r="O98" s="93" t="n">
        <f aca="false">O97+N98</f>
        <v>11131917.3333333</v>
      </c>
      <c r="P98" s="93" t="n">
        <f aca="false">前提条件!$C$8-SUM(M$8:M98)+IF(前提条件!$C$86&lt;3,前提条件!$C$85-SUM(R$8:R98),0)</f>
        <v>1208333.33333333</v>
      </c>
      <c r="Q98" s="94" t="str">
        <f aca="false">IF(AND(K98&gt;=前提条件!$C$94,K97&lt;前提条件!$C$94),"◀投資回収","")</f>
        <v/>
      </c>
      <c r="R98" s="34" t="n">
        <f aca="false">IF(A98&lt;=前提条件!$C$89*12,前提条件!$C$90,0)</f>
        <v>4166.66666666667</v>
      </c>
      <c r="S98" s="34" t="n">
        <f aca="false">IF(A98=1,前提条件!$C$91,0)</f>
        <v>0</v>
      </c>
    </row>
    <row r="99" customFormat="false" ht="15" hidden="false" customHeight="false" outlineLevel="0" collapsed="false">
      <c r="A99" s="88" t="n">
        <v>92</v>
      </c>
      <c r="B99" s="89" t="n">
        <f aca="false">EDATE(前提条件!$C$11,A99-1)</f>
        <v>49188</v>
      </c>
      <c r="C99" s="90" t="n">
        <f aca="false">YEAR(B99)+IF(MONTH(B99)&gt;=7,1,0)-2027+48</f>
        <v>56</v>
      </c>
      <c r="D99" s="91" t="n">
        <f aca="false">前提条件!$C$26/365*DAY(EOMONTH(B99,0))</f>
        <v>30</v>
      </c>
      <c r="E99" s="92" t="n">
        <v>1</v>
      </c>
      <c r="F99" s="34" t="n">
        <f aca="false">前提条件!$C$64*D99*E99</f>
        <v>172500</v>
      </c>
      <c r="G99" s="34" t="n">
        <f aca="false">前提条件!$C$65*D99*E99</f>
        <v>2880</v>
      </c>
      <c r="H99" s="34" t="n">
        <f aca="false">(前提条件!$C$66+前提条件!$C$67)*D99</f>
        <v>6300</v>
      </c>
      <c r="I99" s="34" t="n">
        <f aca="false">前提条件!$C$74/12</f>
        <v>7500</v>
      </c>
      <c r="J99" s="93" t="n">
        <f aca="false">F99+G99-H99-I99</f>
        <v>161580</v>
      </c>
      <c r="K99" s="93" t="n">
        <f aca="false">K98+J99</f>
        <v>15085164</v>
      </c>
      <c r="L99" s="93" t="n">
        <f aca="false">MAX(前提条件!$C$94-K99,0)</f>
        <v>0</v>
      </c>
      <c r="M99" s="34" t="n">
        <f aca="false">前提条件!$C$10</f>
        <v>37500</v>
      </c>
      <c r="N99" s="93" t="n">
        <f aca="false">J99-M99-R99-S99</f>
        <v>119913.333333333</v>
      </c>
      <c r="O99" s="93" t="n">
        <f aca="false">O98+N99</f>
        <v>11251830.6666667</v>
      </c>
      <c r="P99" s="93" t="n">
        <f aca="false">前提条件!$C$8-SUM(M$8:M99)+IF(前提条件!$C$86&lt;3,前提条件!$C$85-SUM(R$8:R99),0)</f>
        <v>1166666.66666667</v>
      </c>
      <c r="Q99" s="94" t="str">
        <f aca="false">IF(AND(K99&gt;=前提条件!$C$94,K98&lt;前提条件!$C$94),"◀投資回収","")</f>
        <v/>
      </c>
      <c r="R99" s="34" t="n">
        <f aca="false">IF(A99&lt;=前提条件!$C$89*12,前提条件!$C$90,0)</f>
        <v>4166.66666666667</v>
      </c>
      <c r="S99" s="34" t="n">
        <f aca="false">IF(A99=1,前提条件!$C$91,0)</f>
        <v>0</v>
      </c>
    </row>
    <row r="100" customFormat="false" ht="15" hidden="false" customHeight="false" outlineLevel="0" collapsed="false">
      <c r="A100" s="88" t="n">
        <v>93</v>
      </c>
      <c r="B100" s="89" t="n">
        <f aca="false">EDATE(前提条件!$C$11,A100-1)</f>
        <v>49218</v>
      </c>
      <c r="C100" s="90" t="n">
        <f aca="false">YEAR(B100)+IF(MONTH(B100)&gt;=7,1,0)-2027+48</f>
        <v>56</v>
      </c>
      <c r="D100" s="91" t="n">
        <f aca="false">前提条件!$C$26/365*DAY(EOMONTH(B100,0))</f>
        <v>31</v>
      </c>
      <c r="E100" s="92" t="n">
        <v>1</v>
      </c>
      <c r="F100" s="34" t="n">
        <f aca="false">前提条件!$C$64*D100*E100</f>
        <v>178250</v>
      </c>
      <c r="G100" s="34" t="n">
        <f aca="false">前提条件!$C$65*D100*E100</f>
        <v>2976</v>
      </c>
      <c r="H100" s="34" t="n">
        <f aca="false">(前提条件!$C$66+前提条件!$C$67)*D100</f>
        <v>6510</v>
      </c>
      <c r="I100" s="34" t="n">
        <f aca="false">前提条件!$C$74/12</f>
        <v>7500</v>
      </c>
      <c r="J100" s="93" t="n">
        <f aca="false">F100+G100-H100-I100</f>
        <v>167216</v>
      </c>
      <c r="K100" s="93" t="n">
        <f aca="false">K99+J100</f>
        <v>15252380</v>
      </c>
      <c r="L100" s="93" t="n">
        <f aca="false">MAX(前提条件!$C$94-K100,0)</f>
        <v>0</v>
      </c>
      <c r="M100" s="34" t="n">
        <f aca="false">前提条件!$C$10</f>
        <v>37500</v>
      </c>
      <c r="N100" s="93" t="n">
        <f aca="false">J100-M100-R100-S100</f>
        <v>125549.333333333</v>
      </c>
      <c r="O100" s="93" t="n">
        <f aca="false">O99+N100</f>
        <v>11377380</v>
      </c>
      <c r="P100" s="93" t="n">
        <f aca="false">前提条件!$C$8-SUM(M$8:M100)+IF(前提条件!$C$86&lt;3,前提条件!$C$85-SUM(R$8:R100),0)</f>
        <v>1125000</v>
      </c>
      <c r="Q100" s="94" t="str">
        <f aca="false">IF(AND(K100&gt;=前提条件!$C$94,K99&lt;前提条件!$C$94),"◀投資回収","")</f>
        <v/>
      </c>
      <c r="R100" s="34" t="n">
        <f aca="false">IF(A100&lt;=前提条件!$C$89*12,前提条件!$C$90,0)</f>
        <v>4166.66666666667</v>
      </c>
      <c r="S100" s="34" t="n">
        <f aca="false">IF(A100=1,前提条件!$C$91,0)</f>
        <v>0</v>
      </c>
    </row>
    <row r="101" customFormat="false" ht="15" hidden="false" customHeight="false" outlineLevel="0" collapsed="false">
      <c r="A101" s="88" t="n">
        <v>94</v>
      </c>
      <c r="B101" s="89" t="n">
        <f aca="false">EDATE(前提条件!$C$11,A101-1)</f>
        <v>49249</v>
      </c>
      <c r="C101" s="90" t="n">
        <f aca="false">YEAR(B101)+IF(MONTH(B101)&gt;=7,1,0)-2027+48</f>
        <v>56</v>
      </c>
      <c r="D101" s="91" t="n">
        <f aca="false">前提条件!$C$26/365*DAY(EOMONTH(B101,0))</f>
        <v>30</v>
      </c>
      <c r="E101" s="92" t="n">
        <v>1</v>
      </c>
      <c r="F101" s="34" t="n">
        <f aca="false">前提条件!$C$64*D101*E101</f>
        <v>172500</v>
      </c>
      <c r="G101" s="34" t="n">
        <f aca="false">前提条件!$C$65*D101*E101</f>
        <v>2880</v>
      </c>
      <c r="H101" s="34" t="n">
        <f aca="false">(前提条件!$C$66+前提条件!$C$67)*D101</f>
        <v>6300</v>
      </c>
      <c r="I101" s="34" t="n">
        <f aca="false">前提条件!$C$74/12</f>
        <v>7500</v>
      </c>
      <c r="J101" s="93" t="n">
        <f aca="false">F101+G101-H101-I101</f>
        <v>161580</v>
      </c>
      <c r="K101" s="93" t="n">
        <f aca="false">K100+J101</f>
        <v>15413960</v>
      </c>
      <c r="L101" s="93" t="n">
        <f aca="false">MAX(前提条件!$C$94-K101,0)</f>
        <v>0</v>
      </c>
      <c r="M101" s="34" t="n">
        <f aca="false">前提条件!$C$10</f>
        <v>37500</v>
      </c>
      <c r="N101" s="93" t="n">
        <f aca="false">J101-M101-R101-S101</f>
        <v>119913.333333333</v>
      </c>
      <c r="O101" s="93" t="n">
        <f aca="false">O100+N101</f>
        <v>11497293.3333333</v>
      </c>
      <c r="P101" s="93" t="n">
        <f aca="false">前提条件!$C$8-SUM(M$8:M101)+IF(前提条件!$C$86&lt;3,前提条件!$C$85-SUM(R$8:R101),0)</f>
        <v>1083333.33333333</v>
      </c>
      <c r="Q101" s="94" t="str">
        <f aca="false">IF(AND(K101&gt;=前提条件!$C$94,K100&lt;前提条件!$C$94),"◀投資回収","")</f>
        <v/>
      </c>
      <c r="R101" s="34" t="n">
        <f aca="false">IF(A101&lt;=前提条件!$C$89*12,前提条件!$C$90,0)</f>
        <v>4166.66666666667</v>
      </c>
      <c r="S101" s="34" t="n">
        <f aca="false">IF(A101=1,前提条件!$C$91,0)</f>
        <v>0</v>
      </c>
    </row>
    <row r="102" customFormat="false" ht="15" hidden="false" customHeight="false" outlineLevel="0" collapsed="false">
      <c r="A102" s="88" t="n">
        <v>95</v>
      </c>
      <c r="B102" s="89" t="n">
        <f aca="false">EDATE(前提条件!$C$11,A102-1)</f>
        <v>49279</v>
      </c>
      <c r="C102" s="90" t="n">
        <f aca="false">YEAR(B102)+IF(MONTH(B102)&gt;=7,1,0)-2027+48</f>
        <v>56</v>
      </c>
      <c r="D102" s="91" t="n">
        <f aca="false">前提条件!$C$26/365*DAY(EOMONTH(B102,0))</f>
        <v>31</v>
      </c>
      <c r="E102" s="92" t="n">
        <v>1</v>
      </c>
      <c r="F102" s="34" t="n">
        <f aca="false">前提条件!$C$64*D102*E102</f>
        <v>178250</v>
      </c>
      <c r="G102" s="34" t="n">
        <f aca="false">前提条件!$C$65*D102*E102</f>
        <v>2976</v>
      </c>
      <c r="H102" s="34" t="n">
        <f aca="false">(前提条件!$C$66+前提条件!$C$67)*D102</f>
        <v>6510</v>
      </c>
      <c r="I102" s="34" t="n">
        <f aca="false">前提条件!$C$74/12</f>
        <v>7500</v>
      </c>
      <c r="J102" s="93" t="n">
        <f aca="false">F102+G102-H102-I102</f>
        <v>167216</v>
      </c>
      <c r="K102" s="93" t="n">
        <f aca="false">K101+J102</f>
        <v>15581176</v>
      </c>
      <c r="L102" s="93" t="n">
        <f aca="false">MAX(前提条件!$C$94-K102,0)</f>
        <v>0</v>
      </c>
      <c r="M102" s="34" t="n">
        <f aca="false">前提条件!$C$10</f>
        <v>37500</v>
      </c>
      <c r="N102" s="93" t="n">
        <f aca="false">J102-M102-R102-S102</f>
        <v>125549.333333333</v>
      </c>
      <c r="O102" s="93" t="n">
        <f aca="false">O101+N102</f>
        <v>11622842.6666667</v>
      </c>
      <c r="P102" s="93" t="n">
        <f aca="false">前提条件!$C$8-SUM(M$8:M102)+IF(前提条件!$C$86&lt;3,前提条件!$C$85-SUM(R$8:R102),0)</f>
        <v>1041666.66666667</v>
      </c>
      <c r="Q102" s="94" t="str">
        <f aca="false">IF(AND(K102&gt;=前提条件!$C$94,K101&lt;前提条件!$C$94),"◀投資回収","")</f>
        <v/>
      </c>
      <c r="R102" s="34" t="n">
        <f aca="false">IF(A102&lt;=前提条件!$C$89*12,前提条件!$C$90,0)</f>
        <v>4166.66666666667</v>
      </c>
      <c r="S102" s="34" t="n">
        <f aca="false">IF(A102=1,前提条件!$C$91,0)</f>
        <v>0</v>
      </c>
    </row>
    <row r="103" customFormat="false" ht="15" hidden="false" customHeight="false" outlineLevel="0" collapsed="false">
      <c r="A103" s="88" t="n">
        <v>96</v>
      </c>
      <c r="B103" s="89" t="n">
        <f aca="false">EDATE(前提条件!$C$11,A103-1)</f>
        <v>49310</v>
      </c>
      <c r="C103" s="90" t="n">
        <f aca="false">YEAR(B103)+IF(MONTH(B103)&gt;=7,1,0)-2027+48</f>
        <v>56</v>
      </c>
      <c r="D103" s="91" t="n">
        <f aca="false">前提条件!$C$26/365*DAY(EOMONTH(B103,0))</f>
        <v>31</v>
      </c>
      <c r="E103" s="92" t="n">
        <v>1</v>
      </c>
      <c r="F103" s="34" t="n">
        <f aca="false">前提条件!$C$64*D103*E103</f>
        <v>178250</v>
      </c>
      <c r="G103" s="34" t="n">
        <f aca="false">前提条件!$C$65*D103*E103</f>
        <v>2976</v>
      </c>
      <c r="H103" s="34" t="n">
        <f aca="false">(前提条件!$C$66+前提条件!$C$67)*D103</f>
        <v>6510</v>
      </c>
      <c r="I103" s="34" t="n">
        <f aca="false">前提条件!$C$74/12</f>
        <v>7500</v>
      </c>
      <c r="J103" s="93" t="n">
        <f aca="false">F103+G103-H103-I103</f>
        <v>167216</v>
      </c>
      <c r="K103" s="93" t="n">
        <f aca="false">K102+J103</f>
        <v>15748392</v>
      </c>
      <c r="L103" s="93" t="n">
        <f aca="false">MAX(前提条件!$C$94-K103,0)</f>
        <v>0</v>
      </c>
      <c r="M103" s="34" t="n">
        <f aca="false">前提条件!$C$10</f>
        <v>37500</v>
      </c>
      <c r="N103" s="93" t="n">
        <f aca="false">J103-M103-R103-S103</f>
        <v>125549.333333333</v>
      </c>
      <c r="O103" s="93" t="n">
        <f aca="false">O102+N103</f>
        <v>11748392</v>
      </c>
      <c r="P103" s="93" t="n">
        <f aca="false">前提条件!$C$8-SUM(M$8:M103)+IF(前提条件!$C$86&lt;3,前提条件!$C$85-SUM(R$8:R103),0)</f>
        <v>1000000</v>
      </c>
      <c r="Q103" s="94" t="str">
        <f aca="false">IF(AND(K103&gt;=前提条件!$C$94,K102&lt;前提条件!$C$94),"◀投資回収","")</f>
        <v/>
      </c>
      <c r="R103" s="34" t="n">
        <f aca="false">IF(A103&lt;=前提条件!$C$89*12,前提条件!$C$90,0)</f>
        <v>4166.66666666667</v>
      </c>
      <c r="S103" s="34" t="n">
        <f aca="false">IF(A103=1,前提条件!$C$91,0)</f>
        <v>0</v>
      </c>
    </row>
    <row r="104" customFormat="false" ht="15" hidden="false" customHeight="false" outlineLevel="0" collapsed="false">
      <c r="A104" s="88" t="n">
        <v>97</v>
      </c>
      <c r="B104" s="89" t="n">
        <f aca="false">EDATE(前提条件!$C$11,A104-1)</f>
        <v>49341</v>
      </c>
      <c r="C104" s="90" t="n">
        <f aca="false">YEAR(B104)+IF(MONTH(B104)&gt;=7,1,0)-2027+48</f>
        <v>56</v>
      </c>
      <c r="D104" s="91" t="n">
        <f aca="false">前提条件!$C$26/365*DAY(EOMONTH(B104,0))</f>
        <v>28</v>
      </c>
      <c r="E104" s="92" t="n">
        <v>1</v>
      </c>
      <c r="F104" s="34" t="n">
        <f aca="false">前提条件!$C$64*D104*E104</f>
        <v>161000</v>
      </c>
      <c r="G104" s="34" t="n">
        <f aca="false">前提条件!$C$65*D104*E104</f>
        <v>2688</v>
      </c>
      <c r="H104" s="34" t="n">
        <f aca="false">(前提条件!$C$66+前提条件!$C$67)*D104</f>
        <v>5880</v>
      </c>
      <c r="I104" s="34" t="n">
        <f aca="false">前提条件!$C$74/12</f>
        <v>7500</v>
      </c>
      <c r="J104" s="93" t="n">
        <f aca="false">F104+G104-H104-I104</f>
        <v>150308</v>
      </c>
      <c r="K104" s="93" t="n">
        <f aca="false">K103+J104</f>
        <v>15898700</v>
      </c>
      <c r="L104" s="93" t="n">
        <f aca="false">MAX(前提条件!$C$94-K104,0)</f>
        <v>0</v>
      </c>
      <c r="M104" s="34" t="n">
        <f aca="false">前提条件!$C$10</f>
        <v>37500</v>
      </c>
      <c r="N104" s="93" t="n">
        <f aca="false">J104-M104-R104-S104</f>
        <v>108641.333333333</v>
      </c>
      <c r="O104" s="93" t="n">
        <f aca="false">O103+N104</f>
        <v>11857033.3333333</v>
      </c>
      <c r="P104" s="93" t="n">
        <f aca="false">前提条件!$C$8-SUM(M$8:M104)+IF(前提条件!$C$86&lt;3,前提条件!$C$85-SUM(R$8:R104),0)</f>
        <v>958333.333333333</v>
      </c>
      <c r="Q104" s="94" t="str">
        <f aca="false">IF(AND(K104&gt;=前提条件!$C$94,K103&lt;前提条件!$C$94),"◀投資回収","")</f>
        <v/>
      </c>
      <c r="R104" s="34" t="n">
        <f aca="false">IF(A104&lt;=前提条件!$C$89*12,前提条件!$C$90,0)</f>
        <v>4166.66666666667</v>
      </c>
      <c r="S104" s="34" t="n">
        <f aca="false">IF(A104=1,前提条件!$C$91,0)</f>
        <v>0</v>
      </c>
    </row>
    <row r="105" customFormat="false" ht="15" hidden="false" customHeight="false" outlineLevel="0" collapsed="false">
      <c r="A105" s="88" t="n">
        <v>98</v>
      </c>
      <c r="B105" s="89" t="n">
        <f aca="false">EDATE(前提条件!$C$11,A105-1)</f>
        <v>49369</v>
      </c>
      <c r="C105" s="90" t="n">
        <f aca="false">YEAR(B105)+IF(MONTH(B105)&gt;=7,1,0)-2027+48</f>
        <v>56</v>
      </c>
      <c r="D105" s="91" t="n">
        <f aca="false">前提条件!$C$26/365*DAY(EOMONTH(B105,0))</f>
        <v>31</v>
      </c>
      <c r="E105" s="92" t="n">
        <v>1</v>
      </c>
      <c r="F105" s="34" t="n">
        <f aca="false">前提条件!$C$64*D105*E105</f>
        <v>178250</v>
      </c>
      <c r="G105" s="34" t="n">
        <f aca="false">前提条件!$C$65*D105*E105</f>
        <v>2976</v>
      </c>
      <c r="H105" s="34" t="n">
        <f aca="false">(前提条件!$C$66+前提条件!$C$67)*D105</f>
        <v>6510</v>
      </c>
      <c r="I105" s="34" t="n">
        <f aca="false">前提条件!$C$74/12</f>
        <v>7500</v>
      </c>
      <c r="J105" s="93" t="n">
        <f aca="false">F105+G105-H105-I105</f>
        <v>167216</v>
      </c>
      <c r="K105" s="93" t="n">
        <f aca="false">K104+J105</f>
        <v>16065916</v>
      </c>
      <c r="L105" s="93" t="n">
        <f aca="false">MAX(前提条件!$C$94-K105,0)</f>
        <v>0</v>
      </c>
      <c r="M105" s="34" t="n">
        <f aca="false">前提条件!$C$10</f>
        <v>37500</v>
      </c>
      <c r="N105" s="93" t="n">
        <f aca="false">J105-M105-R105-S105</f>
        <v>125549.333333333</v>
      </c>
      <c r="O105" s="93" t="n">
        <f aca="false">O104+N105</f>
        <v>11982582.6666667</v>
      </c>
      <c r="P105" s="93" t="n">
        <f aca="false">前提条件!$C$8-SUM(M$8:M105)+IF(前提条件!$C$86&lt;3,前提条件!$C$85-SUM(R$8:R105),0)</f>
        <v>916666.666666667</v>
      </c>
      <c r="Q105" s="94" t="str">
        <f aca="false">IF(AND(K105&gt;=前提条件!$C$94,K104&lt;前提条件!$C$94),"◀投資回収","")</f>
        <v/>
      </c>
      <c r="R105" s="34" t="n">
        <f aca="false">IF(A105&lt;=前提条件!$C$89*12,前提条件!$C$90,0)</f>
        <v>4166.66666666667</v>
      </c>
      <c r="S105" s="34" t="n">
        <f aca="false">IF(A105=1,前提条件!$C$91,0)</f>
        <v>0</v>
      </c>
    </row>
    <row r="106" customFormat="false" ht="15" hidden="false" customHeight="false" outlineLevel="0" collapsed="false">
      <c r="A106" s="88" t="n">
        <v>99</v>
      </c>
      <c r="B106" s="89" t="n">
        <f aca="false">EDATE(前提条件!$C$11,A106-1)</f>
        <v>49400</v>
      </c>
      <c r="C106" s="90" t="n">
        <f aca="false">YEAR(B106)+IF(MONTH(B106)&gt;=7,1,0)-2027+48</f>
        <v>56</v>
      </c>
      <c r="D106" s="91" t="n">
        <f aca="false">前提条件!$C$26/365*DAY(EOMONTH(B106,0))</f>
        <v>30</v>
      </c>
      <c r="E106" s="92" t="n">
        <v>1</v>
      </c>
      <c r="F106" s="34" t="n">
        <f aca="false">前提条件!$C$64*D106*E106</f>
        <v>172500</v>
      </c>
      <c r="G106" s="34" t="n">
        <f aca="false">前提条件!$C$65*D106*E106</f>
        <v>2880</v>
      </c>
      <c r="H106" s="34" t="n">
        <f aca="false">(前提条件!$C$66+前提条件!$C$67)*D106</f>
        <v>6300</v>
      </c>
      <c r="I106" s="34" t="n">
        <f aca="false">前提条件!$C$74/12</f>
        <v>7500</v>
      </c>
      <c r="J106" s="93" t="n">
        <f aca="false">F106+G106-H106-I106</f>
        <v>161580</v>
      </c>
      <c r="K106" s="93" t="n">
        <f aca="false">K105+J106</f>
        <v>16227496</v>
      </c>
      <c r="L106" s="93" t="n">
        <f aca="false">MAX(前提条件!$C$94-K106,0)</f>
        <v>0</v>
      </c>
      <c r="M106" s="34" t="n">
        <f aca="false">前提条件!$C$10</f>
        <v>37500</v>
      </c>
      <c r="N106" s="93" t="n">
        <f aca="false">J106-M106-R106-S106</f>
        <v>119913.333333333</v>
      </c>
      <c r="O106" s="93" t="n">
        <f aca="false">O105+N106</f>
        <v>12102496</v>
      </c>
      <c r="P106" s="93" t="n">
        <f aca="false">前提条件!$C$8-SUM(M$8:M106)+IF(前提条件!$C$86&lt;3,前提条件!$C$85-SUM(R$8:R106),0)</f>
        <v>875000</v>
      </c>
      <c r="Q106" s="94" t="str">
        <f aca="false">IF(AND(K106&gt;=前提条件!$C$94,K105&lt;前提条件!$C$94),"◀投資回収","")</f>
        <v/>
      </c>
      <c r="R106" s="34" t="n">
        <f aca="false">IF(A106&lt;=前提条件!$C$89*12,前提条件!$C$90,0)</f>
        <v>4166.66666666667</v>
      </c>
      <c r="S106" s="34" t="n">
        <f aca="false">IF(A106=1,前提条件!$C$91,0)</f>
        <v>0</v>
      </c>
    </row>
    <row r="107" customFormat="false" ht="15" hidden="false" customHeight="false" outlineLevel="0" collapsed="false">
      <c r="A107" s="88" t="n">
        <v>100</v>
      </c>
      <c r="B107" s="89" t="n">
        <f aca="false">EDATE(前提条件!$C$11,A107-1)</f>
        <v>49430</v>
      </c>
      <c r="C107" s="90" t="n">
        <f aca="false">YEAR(B107)+IF(MONTH(B107)&gt;=7,1,0)-2027+48</f>
        <v>56</v>
      </c>
      <c r="D107" s="91" t="n">
        <f aca="false">前提条件!$C$26/365*DAY(EOMONTH(B107,0))</f>
        <v>31</v>
      </c>
      <c r="E107" s="92" t="n">
        <v>1</v>
      </c>
      <c r="F107" s="34" t="n">
        <f aca="false">前提条件!$C$64*D107*E107</f>
        <v>178250</v>
      </c>
      <c r="G107" s="34" t="n">
        <f aca="false">前提条件!$C$65*D107*E107</f>
        <v>2976</v>
      </c>
      <c r="H107" s="34" t="n">
        <f aca="false">(前提条件!$C$66+前提条件!$C$67)*D107</f>
        <v>6510</v>
      </c>
      <c r="I107" s="34" t="n">
        <f aca="false">前提条件!$C$74/12</f>
        <v>7500</v>
      </c>
      <c r="J107" s="93" t="n">
        <f aca="false">F107+G107-H107-I107</f>
        <v>167216</v>
      </c>
      <c r="K107" s="93" t="n">
        <f aca="false">K106+J107</f>
        <v>16394712</v>
      </c>
      <c r="L107" s="93" t="n">
        <f aca="false">MAX(前提条件!$C$94-K107,0)</f>
        <v>0</v>
      </c>
      <c r="M107" s="34" t="n">
        <f aca="false">前提条件!$C$10</f>
        <v>37500</v>
      </c>
      <c r="N107" s="93" t="n">
        <f aca="false">J107-M107-R107-S107</f>
        <v>125549.333333333</v>
      </c>
      <c r="O107" s="93" t="n">
        <f aca="false">O106+N107</f>
        <v>12228045.3333333</v>
      </c>
      <c r="P107" s="93" t="n">
        <f aca="false">前提条件!$C$8-SUM(M$8:M107)+IF(前提条件!$C$86&lt;3,前提条件!$C$85-SUM(R$8:R107),0)</f>
        <v>833333.333333333</v>
      </c>
      <c r="Q107" s="94" t="str">
        <f aca="false">IF(AND(K107&gt;=前提条件!$C$94,K106&lt;前提条件!$C$94),"◀投資回収","")</f>
        <v/>
      </c>
      <c r="R107" s="34" t="n">
        <f aca="false">IF(A107&lt;=前提条件!$C$89*12,前提条件!$C$90,0)</f>
        <v>4166.66666666667</v>
      </c>
      <c r="S107" s="34" t="n">
        <f aca="false">IF(A107=1,前提条件!$C$91,0)</f>
        <v>0</v>
      </c>
    </row>
    <row r="108" customFormat="false" ht="15" hidden="false" customHeight="false" outlineLevel="0" collapsed="false">
      <c r="A108" s="88" t="n">
        <v>101</v>
      </c>
      <c r="B108" s="89" t="n">
        <f aca="false">EDATE(前提条件!$C$11,A108-1)</f>
        <v>49461</v>
      </c>
      <c r="C108" s="90" t="n">
        <f aca="false">YEAR(B108)+IF(MONTH(B108)&gt;=7,1,0)-2027+48</f>
        <v>56</v>
      </c>
      <c r="D108" s="91" t="n">
        <f aca="false">前提条件!$C$26/365*DAY(EOMONTH(B108,0))</f>
        <v>30</v>
      </c>
      <c r="E108" s="92" t="n">
        <v>1</v>
      </c>
      <c r="F108" s="34" t="n">
        <f aca="false">前提条件!$C$64*D108*E108</f>
        <v>172500</v>
      </c>
      <c r="G108" s="34" t="n">
        <f aca="false">前提条件!$C$65*D108*E108</f>
        <v>2880</v>
      </c>
      <c r="H108" s="34" t="n">
        <f aca="false">(前提条件!$C$66+前提条件!$C$67)*D108</f>
        <v>6300</v>
      </c>
      <c r="I108" s="34" t="n">
        <f aca="false">前提条件!$C$74/12</f>
        <v>7500</v>
      </c>
      <c r="J108" s="93" t="n">
        <f aca="false">F108+G108-H108-I108</f>
        <v>161580</v>
      </c>
      <c r="K108" s="93" t="n">
        <f aca="false">K107+J108</f>
        <v>16556292</v>
      </c>
      <c r="L108" s="93" t="n">
        <f aca="false">MAX(前提条件!$C$94-K108,0)</f>
        <v>0</v>
      </c>
      <c r="M108" s="34" t="n">
        <f aca="false">前提条件!$C$10</f>
        <v>37500</v>
      </c>
      <c r="N108" s="93" t="n">
        <f aca="false">J108-M108-R108-S108</f>
        <v>119913.333333333</v>
      </c>
      <c r="O108" s="93" t="n">
        <f aca="false">O107+N108</f>
        <v>12347958.6666667</v>
      </c>
      <c r="P108" s="93" t="n">
        <f aca="false">前提条件!$C$8-SUM(M$8:M108)+IF(前提条件!$C$86&lt;3,前提条件!$C$85-SUM(R$8:R108),0)</f>
        <v>791666.666666667</v>
      </c>
      <c r="Q108" s="94" t="str">
        <f aca="false">IF(AND(K108&gt;=前提条件!$C$94,K107&lt;前提条件!$C$94),"◀投資回収","")</f>
        <v/>
      </c>
      <c r="R108" s="34" t="n">
        <f aca="false">IF(A108&lt;=前提条件!$C$89*12,前提条件!$C$90,0)</f>
        <v>4166.66666666667</v>
      </c>
      <c r="S108" s="34" t="n">
        <f aca="false">IF(A108=1,前提条件!$C$91,0)</f>
        <v>0</v>
      </c>
    </row>
    <row r="109" customFormat="false" ht="15" hidden="false" customHeight="false" outlineLevel="0" collapsed="false">
      <c r="A109" s="88" t="n">
        <v>102</v>
      </c>
      <c r="B109" s="89" t="n">
        <f aca="false">EDATE(前提条件!$C$11,A109-1)</f>
        <v>49491</v>
      </c>
      <c r="C109" s="90" t="n">
        <f aca="false">YEAR(B109)+IF(MONTH(B109)&gt;=7,1,0)-2027+48</f>
        <v>57</v>
      </c>
      <c r="D109" s="91" t="n">
        <f aca="false">前提条件!$C$26/365*DAY(EOMONTH(B109,0))</f>
        <v>31</v>
      </c>
      <c r="E109" s="92" t="n">
        <v>1</v>
      </c>
      <c r="F109" s="34" t="n">
        <f aca="false">前提条件!$C$64*D109*E109</f>
        <v>178250</v>
      </c>
      <c r="G109" s="34" t="n">
        <f aca="false">前提条件!$C$65*D109*E109</f>
        <v>2976</v>
      </c>
      <c r="H109" s="34" t="n">
        <f aca="false">(前提条件!$C$66+前提条件!$C$67)*D109</f>
        <v>6510</v>
      </c>
      <c r="I109" s="34" t="n">
        <f aca="false">前提条件!$C$74/12</f>
        <v>7500</v>
      </c>
      <c r="J109" s="93" t="n">
        <f aca="false">F109+G109-H109-I109</f>
        <v>167216</v>
      </c>
      <c r="K109" s="93" t="n">
        <f aca="false">K108+J109</f>
        <v>16723508</v>
      </c>
      <c r="L109" s="93" t="n">
        <f aca="false">MAX(前提条件!$C$94-K109,0)</f>
        <v>0</v>
      </c>
      <c r="M109" s="34" t="n">
        <f aca="false">前提条件!$C$10</f>
        <v>37500</v>
      </c>
      <c r="N109" s="93" t="n">
        <f aca="false">J109-M109-R109-S109</f>
        <v>125549.333333333</v>
      </c>
      <c r="O109" s="93" t="n">
        <f aca="false">O108+N109</f>
        <v>12473508</v>
      </c>
      <c r="P109" s="93" t="n">
        <f aca="false">前提条件!$C$8-SUM(M$8:M109)+IF(前提条件!$C$86&lt;3,前提条件!$C$85-SUM(R$8:R109),0)</f>
        <v>750000</v>
      </c>
      <c r="Q109" s="94" t="str">
        <f aca="false">IF(AND(K109&gt;=前提条件!$C$94,K108&lt;前提条件!$C$94),"◀投資回収","")</f>
        <v/>
      </c>
      <c r="R109" s="34" t="n">
        <f aca="false">IF(A109&lt;=前提条件!$C$89*12,前提条件!$C$90,0)</f>
        <v>4166.66666666667</v>
      </c>
      <c r="S109" s="34" t="n">
        <f aca="false">IF(A109=1,前提条件!$C$91,0)</f>
        <v>0</v>
      </c>
    </row>
    <row r="110" customFormat="false" ht="15" hidden="false" customHeight="false" outlineLevel="0" collapsed="false">
      <c r="A110" s="88" t="n">
        <v>103</v>
      </c>
      <c r="B110" s="89" t="n">
        <f aca="false">EDATE(前提条件!$C$11,A110-1)</f>
        <v>49522</v>
      </c>
      <c r="C110" s="90" t="n">
        <f aca="false">YEAR(B110)+IF(MONTH(B110)&gt;=7,1,0)-2027+48</f>
        <v>57</v>
      </c>
      <c r="D110" s="91" t="n">
        <f aca="false">前提条件!$C$26/365*DAY(EOMONTH(B110,0))</f>
        <v>31</v>
      </c>
      <c r="E110" s="92" t="n">
        <v>1</v>
      </c>
      <c r="F110" s="34" t="n">
        <f aca="false">前提条件!$C$64*D110*E110</f>
        <v>178250</v>
      </c>
      <c r="G110" s="34" t="n">
        <f aca="false">前提条件!$C$65*D110*E110</f>
        <v>2976</v>
      </c>
      <c r="H110" s="34" t="n">
        <f aca="false">(前提条件!$C$66+前提条件!$C$67)*D110</f>
        <v>6510</v>
      </c>
      <c r="I110" s="34" t="n">
        <f aca="false">前提条件!$C$74/12</f>
        <v>7500</v>
      </c>
      <c r="J110" s="93" t="n">
        <f aca="false">F110+G110-H110-I110</f>
        <v>167216</v>
      </c>
      <c r="K110" s="93" t="n">
        <f aca="false">K109+J110</f>
        <v>16890724</v>
      </c>
      <c r="L110" s="93" t="n">
        <f aca="false">MAX(前提条件!$C$94-K110,0)</f>
        <v>0</v>
      </c>
      <c r="M110" s="34" t="n">
        <f aca="false">前提条件!$C$10</f>
        <v>37500</v>
      </c>
      <c r="N110" s="93" t="n">
        <f aca="false">J110-M110-R110-S110</f>
        <v>125549.333333333</v>
      </c>
      <c r="O110" s="93" t="n">
        <f aca="false">O109+N110</f>
        <v>12599057.3333333</v>
      </c>
      <c r="P110" s="93" t="n">
        <f aca="false">前提条件!$C$8-SUM(M$8:M110)+IF(前提条件!$C$86&lt;3,前提条件!$C$85-SUM(R$8:R110),0)</f>
        <v>708333.333333333</v>
      </c>
      <c r="Q110" s="94" t="str">
        <f aca="false">IF(AND(K110&gt;=前提条件!$C$94,K109&lt;前提条件!$C$94),"◀投資回収","")</f>
        <v/>
      </c>
      <c r="R110" s="34" t="n">
        <f aca="false">IF(A110&lt;=前提条件!$C$89*12,前提条件!$C$90,0)</f>
        <v>4166.66666666667</v>
      </c>
      <c r="S110" s="34" t="n">
        <f aca="false">IF(A110=1,前提条件!$C$91,0)</f>
        <v>0</v>
      </c>
    </row>
    <row r="111" customFormat="false" ht="15" hidden="false" customHeight="false" outlineLevel="0" collapsed="false">
      <c r="A111" s="88" t="n">
        <v>104</v>
      </c>
      <c r="B111" s="89" t="n">
        <f aca="false">EDATE(前提条件!$C$11,A111-1)</f>
        <v>49553</v>
      </c>
      <c r="C111" s="90" t="n">
        <f aca="false">YEAR(B111)+IF(MONTH(B111)&gt;=7,1,0)-2027+48</f>
        <v>57</v>
      </c>
      <c r="D111" s="91" t="n">
        <f aca="false">前提条件!$C$26/365*DAY(EOMONTH(B111,0))</f>
        <v>30</v>
      </c>
      <c r="E111" s="92" t="n">
        <v>1</v>
      </c>
      <c r="F111" s="34" t="n">
        <f aca="false">前提条件!$C$64*D111*E111</f>
        <v>172500</v>
      </c>
      <c r="G111" s="34" t="n">
        <f aca="false">前提条件!$C$65*D111*E111</f>
        <v>2880</v>
      </c>
      <c r="H111" s="34" t="n">
        <f aca="false">(前提条件!$C$66+前提条件!$C$67)*D111</f>
        <v>6300</v>
      </c>
      <c r="I111" s="34" t="n">
        <f aca="false">前提条件!$C$74/12</f>
        <v>7500</v>
      </c>
      <c r="J111" s="93" t="n">
        <f aca="false">F111+G111-H111-I111</f>
        <v>161580</v>
      </c>
      <c r="K111" s="93" t="n">
        <f aca="false">K110+J111</f>
        <v>17052304</v>
      </c>
      <c r="L111" s="93" t="n">
        <f aca="false">MAX(前提条件!$C$94-K111,0)</f>
        <v>0</v>
      </c>
      <c r="M111" s="34" t="n">
        <f aca="false">前提条件!$C$10</f>
        <v>37500</v>
      </c>
      <c r="N111" s="93" t="n">
        <f aca="false">J111-M111-R111-S111</f>
        <v>119913.333333333</v>
      </c>
      <c r="O111" s="93" t="n">
        <f aca="false">O110+N111</f>
        <v>12718970.6666667</v>
      </c>
      <c r="P111" s="93" t="n">
        <f aca="false">前提条件!$C$8-SUM(M$8:M111)+IF(前提条件!$C$86&lt;3,前提条件!$C$85-SUM(R$8:R111),0)</f>
        <v>666666.666666667</v>
      </c>
      <c r="Q111" s="94" t="str">
        <f aca="false">IF(AND(K111&gt;=前提条件!$C$94,K110&lt;前提条件!$C$94),"◀投資回収","")</f>
        <v/>
      </c>
      <c r="R111" s="34" t="n">
        <f aca="false">IF(A111&lt;=前提条件!$C$89*12,前提条件!$C$90,0)</f>
        <v>4166.66666666667</v>
      </c>
      <c r="S111" s="34" t="n">
        <f aca="false">IF(A111=1,前提条件!$C$91,0)</f>
        <v>0</v>
      </c>
    </row>
    <row r="112" customFormat="false" ht="15" hidden="false" customHeight="false" outlineLevel="0" collapsed="false">
      <c r="A112" s="88" t="n">
        <v>105</v>
      </c>
      <c r="B112" s="89" t="n">
        <f aca="false">EDATE(前提条件!$C$11,A112-1)</f>
        <v>49583</v>
      </c>
      <c r="C112" s="90" t="n">
        <f aca="false">YEAR(B112)+IF(MONTH(B112)&gt;=7,1,0)-2027+48</f>
        <v>57</v>
      </c>
      <c r="D112" s="91" t="n">
        <f aca="false">前提条件!$C$26/365*DAY(EOMONTH(B112,0))</f>
        <v>31</v>
      </c>
      <c r="E112" s="92" t="n">
        <v>1</v>
      </c>
      <c r="F112" s="34" t="n">
        <f aca="false">前提条件!$C$64*D112*E112</f>
        <v>178250</v>
      </c>
      <c r="G112" s="34" t="n">
        <f aca="false">前提条件!$C$65*D112*E112</f>
        <v>2976</v>
      </c>
      <c r="H112" s="34" t="n">
        <f aca="false">(前提条件!$C$66+前提条件!$C$67)*D112</f>
        <v>6510</v>
      </c>
      <c r="I112" s="34" t="n">
        <f aca="false">前提条件!$C$74/12</f>
        <v>7500</v>
      </c>
      <c r="J112" s="93" t="n">
        <f aca="false">F112+G112-H112-I112</f>
        <v>167216</v>
      </c>
      <c r="K112" s="93" t="n">
        <f aca="false">K111+J112</f>
        <v>17219520</v>
      </c>
      <c r="L112" s="93" t="n">
        <f aca="false">MAX(前提条件!$C$94-K112,0)</f>
        <v>0</v>
      </c>
      <c r="M112" s="34" t="n">
        <f aca="false">前提条件!$C$10</f>
        <v>37500</v>
      </c>
      <c r="N112" s="93" t="n">
        <f aca="false">J112-M112-R112-S112</f>
        <v>125549.333333333</v>
      </c>
      <c r="O112" s="93" t="n">
        <f aca="false">O111+N112</f>
        <v>12844520</v>
      </c>
      <c r="P112" s="93" t="n">
        <f aca="false">前提条件!$C$8-SUM(M$8:M112)+IF(前提条件!$C$86&lt;3,前提条件!$C$85-SUM(R$8:R112),0)</f>
        <v>625000</v>
      </c>
      <c r="Q112" s="94" t="str">
        <f aca="false">IF(AND(K112&gt;=前提条件!$C$94,K111&lt;前提条件!$C$94),"◀投資回収","")</f>
        <v/>
      </c>
      <c r="R112" s="34" t="n">
        <f aca="false">IF(A112&lt;=前提条件!$C$89*12,前提条件!$C$90,0)</f>
        <v>4166.66666666667</v>
      </c>
      <c r="S112" s="34" t="n">
        <f aca="false">IF(A112=1,前提条件!$C$91,0)</f>
        <v>0</v>
      </c>
    </row>
    <row r="113" customFormat="false" ht="15" hidden="false" customHeight="false" outlineLevel="0" collapsed="false">
      <c r="A113" s="88" t="n">
        <v>106</v>
      </c>
      <c r="B113" s="89" t="n">
        <f aca="false">EDATE(前提条件!$C$11,A113-1)</f>
        <v>49614</v>
      </c>
      <c r="C113" s="90" t="n">
        <f aca="false">YEAR(B113)+IF(MONTH(B113)&gt;=7,1,0)-2027+48</f>
        <v>57</v>
      </c>
      <c r="D113" s="91" t="n">
        <f aca="false">前提条件!$C$26/365*DAY(EOMONTH(B113,0))</f>
        <v>30</v>
      </c>
      <c r="E113" s="92" t="n">
        <v>1</v>
      </c>
      <c r="F113" s="34" t="n">
        <f aca="false">前提条件!$C$64*D113*E113</f>
        <v>172500</v>
      </c>
      <c r="G113" s="34" t="n">
        <f aca="false">前提条件!$C$65*D113*E113</f>
        <v>2880</v>
      </c>
      <c r="H113" s="34" t="n">
        <f aca="false">(前提条件!$C$66+前提条件!$C$67)*D113</f>
        <v>6300</v>
      </c>
      <c r="I113" s="34" t="n">
        <f aca="false">前提条件!$C$74/12</f>
        <v>7500</v>
      </c>
      <c r="J113" s="93" t="n">
        <f aca="false">F113+G113-H113-I113</f>
        <v>161580</v>
      </c>
      <c r="K113" s="93" t="n">
        <f aca="false">K112+J113</f>
        <v>17381100</v>
      </c>
      <c r="L113" s="93" t="n">
        <f aca="false">MAX(前提条件!$C$94-K113,0)</f>
        <v>0</v>
      </c>
      <c r="M113" s="34" t="n">
        <f aca="false">前提条件!$C$10</f>
        <v>37500</v>
      </c>
      <c r="N113" s="93" t="n">
        <f aca="false">J113-M113-R113-S113</f>
        <v>119913.333333333</v>
      </c>
      <c r="O113" s="93" t="n">
        <f aca="false">O112+N113</f>
        <v>12964433.3333333</v>
      </c>
      <c r="P113" s="93" t="n">
        <f aca="false">前提条件!$C$8-SUM(M$8:M113)+IF(前提条件!$C$86&lt;3,前提条件!$C$85-SUM(R$8:R113),0)</f>
        <v>583333.333333333</v>
      </c>
      <c r="Q113" s="94" t="str">
        <f aca="false">IF(AND(K113&gt;=前提条件!$C$94,K112&lt;前提条件!$C$94),"◀投資回収","")</f>
        <v/>
      </c>
      <c r="R113" s="34" t="n">
        <f aca="false">IF(A113&lt;=前提条件!$C$89*12,前提条件!$C$90,0)</f>
        <v>4166.66666666667</v>
      </c>
      <c r="S113" s="34" t="n">
        <f aca="false">IF(A113=1,前提条件!$C$91,0)</f>
        <v>0</v>
      </c>
    </row>
    <row r="114" customFormat="false" ht="15" hidden="false" customHeight="false" outlineLevel="0" collapsed="false">
      <c r="A114" s="88" t="n">
        <v>107</v>
      </c>
      <c r="B114" s="89" t="n">
        <f aca="false">EDATE(前提条件!$C$11,A114-1)</f>
        <v>49644</v>
      </c>
      <c r="C114" s="90" t="n">
        <f aca="false">YEAR(B114)+IF(MONTH(B114)&gt;=7,1,0)-2027+48</f>
        <v>57</v>
      </c>
      <c r="D114" s="91" t="n">
        <f aca="false">前提条件!$C$26/365*DAY(EOMONTH(B114,0))</f>
        <v>31</v>
      </c>
      <c r="E114" s="92" t="n">
        <v>1</v>
      </c>
      <c r="F114" s="34" t="n">
        <f aca="false">前提条件!$C$64*D114*E114</f>
        <v>178250</v>
      </c>
      <c r="G114" s="34" t="n">
        <f aca="false">前提条件!$C$65*D114*E114</f>
        <v>2976</v>
      </c>
      <c r="H114" s="34" t="n">
        <f aca="false">(前提条件!$C$66+前提条件!$C$67)*D114</f>
        <v>6510</v>
      </c>
      <c r="I114" s="34" t="n">
        <f aca="false">前提条件!$C$74/12</f>
        <v>7500</v>
      </c>
      <c r="J114" s="93" t="n">
        <f aca="false">F114+G114-H114-I114</f>
        <v>167216</v>
      </c>
      <c r="K114" s="93" t="n">
        <f aca="false">K113+J114</f>
        <v>17548316</v>
      </c>
      <c r="L114" s="93" t="n">
        <f aca="false">MAX(前提条件!$C$94-K114,0)</f>
        <v>0</v>
      </c>
      <c r="M114" s="34" t="n">
        <f aca="false">前提条件!$C$10</f>
        <v>37500</v>
      </c>
      <c r="N114" s="93" t="n">
        <f aca="false">J114-M114-R114-S114</f>
        <v>125549.333333333</v>
      </c>
      <c r="O114" s="93" t="n">
        <f aca="false">O113+N114</f>
        <v>13089982.6666667</v>
      </c>
      <c r="P114" s="93" t="n">
        <f aca="false">前提条件!$C$8-SUM(M$8:M114)+IF(前提条件!$C$86&lt;3,前提条件!$C$85-SUM(R$8:R114),0)</f>
        <v>541666.666666667</v>
      </c>
      <c r="Q114" s="94" t="str">
        <f aca="false">IF(AND(K114&gt;=前提条件!$C$94,K113&lt;前提条件!$C$94),"◀投資回収","")</f>
        <v/>
      </c>
      <c r="R114" s="34" t="n">
        <f aca="false">IF(A114&lt;=前提条件!$C$89*12,前提条件!$C$90,0)</f>
        <v>4166.66666666667</v>
      </c>
      <c r="S114" s="34" t="n">
        <f aca="false">IF(A114=1,前提条件!$C$91,0)</f>
        <v>0</v>
      </c>
    </row>
    <row r="115" customFormat="false" ht="15" hidden="false" customHeight="false" outlineLevel="0" collapsed="false">
      <c r="A115" s="88" t="n">
        <v>108</v>
      </c>
      <c r="B115" s="89" t="n">
        <f aca="false">EDATE(前提条件!$C$11,A115-1)</f>
        <v>49675</v>
      </c>
      <c r="C115" s="90" t="n">
        <f aca="false">YEAR(B115)+IF(MONTH(B115)&gt;=7,1,0)-2027+48</f>
        <v>57</v>
      </c>
      <c r="D115" s="91" t="n">
        <f aca="false">前提条件!$C$26/365*DAY(EOMONTH(B115,0))</f>
        <v>31</v>
      </c>
      <c r="E115" s="92" t="n">
        <v>1</v>
      </c>
      <c r="F115" s="34" t="n">
        <f aca="false">前提条件!$C$64*D115*E115</f>
        <v>178250</v>
      </c>
      <c r="G115" s="34" t="n">
        <f aca="false">前提条件!$C$65*D115*E115</f>
        <v>2976</v>
      </c>
      <c r="H115" s="34" t="n">
        <f aca="false">(前提条件!$C$66+前提条件!$C$67)*D115</f>
        <v>6510</v>
      </c>
      <c r="I115" s="34" t="n">
        <f aca="false">前提条件!$C$74/12</f>
        <v>7500</v>
      </c>
      <c r="J115" s="93" t="n">
        <f aca="false">F115+G115-H115-I115</f>
        <v>167216</v>
      </c>
      <c r="K115" s="93" t="n">
        <f aca="false">K114+J115</f>
        <v>17715532</v>
      </c>
      <c r="L115" s="93" t="n">
        <f aca="false">MAX(前提条件!$C$94-K115,0)</f>
        <v>0</v>
      </c>
      <c r="M115" s="34" t="n">
        <f aca="false">前提条件!$C$10</f>
        <v>37500</v>
      </c>
      <c r="N115" s="93" t="n">
        <f aca="false">J115-M115-R115-S115</f>
        <v>125549.333333333</v>
      </c>
      <c r="O115" s="93" t="n">
        <f aca="false">O114+N115</f>
        <v>13215532</v>
      </c>
      <c r="P115" s="93" t="n">
        <f aca="false">前提条件!$C$8-SUM(M$8:M115)+IF(前提条件!$C$86&lt;3,前提条件!$C$85-SUM(R$8:R115),0)</f>
        <v>500000</v>
      </c>
      <c r="Q115" s="94" t="str">
        <f aca="false">IF(AND(K115&gt;=前提条件!$C$94,K114&lt;前提条件!$C$94),"◀投資回収","")</f>
        <v/>
      </c>
      <c r="R115" s="34" t="n">
        <f aca="false">IF(A115&lt;=前提条件!$C$89*12,前提条件!$C$90,0)</f>
        <v>4166.66666666667</v>
      </c>
      <c r="S115" s="34" t="n">
        <f aca="false">IF(A115=1,前提条件!$C$91,0)</f>
        <v>0</v>
      </c>
    </row>
    <row r="116" customFormat="false" ht="15" hidden="false" customHeight="false" outlineLevel="0" collapsed="false">
      <c r="A116" s="88" t="n">
        <v>109</v>
      </c>
      <c r="B116" s="89" t="n">
        <f aca="false">EDATE(前提条件!$C$11,A116-1)</f>
        <v>49706</v>
      </c>
      <c r="C116" s="90" t="n">
        <f aca="false">YEAR(B116)+IF(MONTH(B116)&gt;=7,1,0)-2027+48</f>
        <v>57</v>
      </c>
      <c r="D116" s="91" t="n">
        <f aca="false">前提条件!$C$26/365*DAY(EOMONTH(B116,0))</f>
        <v>29</v>
      </c>
      <c r="E116" s="92" t="n">
        <v>1</v>
      </c>
      <c r="F116" s="34" t="n">
        <f aca="false">前提条件!$C$64*D116*E116</f>
        <v>166750</v>
      </c>
      <c r="G116" s="34" t="n">
        <f aca="false">前提条件!$C$65*D116*E116</f>
        <v>2784</v>
      </c>
      <c r="H116" s="34" t="n">
        <f aca="false">(前提条件!$C$66+前提条件!$C$67)*D116</f>
        <v>6090</v>
      </c>
      <c r="I116" s="34" t="n">
        <f aca="false">前提条件!$C$74/12</f>
        <v>7500</v>
      </c>
      <c r="J116" s="93" t="n">
        <f aca="false">F116+G116-H116-I116</f>
        <v>155944</v>
      </c>
      <c r="K116" s="93" t="n">
        <f aca="false">K115+J116</f>
        <v>17871476</v>
      </c>
      <c r="L116" s="93" t="n">
        <f aca="false">MAX(前提条件!$C$94-K116,0)</f>
        <v>0</v>
      </c>
      <c r="M116" s="34" t="n">
        <f aca="false">前提条件!$C$10</f>
        <v>37500</v>
      </c>
      <c r="N116" s="93" t="n">
        <f aca="false">J116-M116-R116-S116</f>
        <v>114277.333333333</v>
      </c>
      <c r="O116" s="93" t="n">
        <f aca="false">O115+N116</f>
        <v>13329809.3333334</v>
      </c>
      <c r="P116" s="93" t="n">
        <f aca="false">前提条件!$C$8-SUM(M$8:M116)+IF(前提条件!$C$86&lt;3,前提条件!$C$85-SUM(R$8:R116),0)</f>
        <v>458333.333333333</v>
      </c>
      <c r="Q116" s="94" t="str">
        <f aca="false">IF(AND(K116&gt;=前提条件!$C$94,K115&lt;前提条件!$C$94),"◀投資回収","")</f>
        <v/>
      </c>
      <c r="R116" s="34" t="n">
        <f aca="false">IF(A116&lt;=前提条件!$C$89*12,前提条件!$C$90,0)</f>
        <v>4166.66666666667</v>
      </c>
      <c r="S116" s="34" t="n">
        <f aca="false">IF(A116=1,前提条件!$C$91,0)</f>
        <v>0</v>
      </c>
    </row>
    <row r="117" customFormat="false" ht="15" hidden="false" customHeight="false" outlineLevel="0" collapsed="false">
      <c r="A117" s="88" t="n">
        <v>110</v>
      </c>
      <c r="B117" s="89" t="n">
        <f aca="false">EDATE(前提条件!$C$11,A117-1)</f>
        <v>49735</v>
      </c>
      <c r="C117" s="90" t="n">
        <f aca="false">YEAR(B117)+IF(MONTH(B117)&gt;=7,1,0)-2027+48</f>
        <v>57</v>
      </c>
      <c r="D117" s="91" t="n">
        <f aca="false">前提条件!$C$26/365*DAY(EOMONTH(B117,0))</f>
        <v>31</v>
      </c>
      <c r="E117" s="92" t="n">
        <v>1</v>
      </c>
      <c r="F117" s="34" t="n">
        <f aca="false">前提条件!$C$64*D117*E117</f>
        <v>178250</v>
      </c>
      <c r="G117" s="34" t="n">
        <f aca="false">前提条件!$C$65*D117*E117</f>
        <v>2976</v>
      </c>
      <c r="H117" s="34" t="n">
        <f aca="false">(前提条件!$C$66+前提条件!$C$67)*D117</f>
        <v>6510</v>
      </c>
      <c r="I117" s="34" t="n">
        <f aca="false">前提条件!$C$74/12</f>
        <v>7500</v>
      </c>
      <c r="J117" s="93" t="n">
        <f aca="false">F117+G117-H117-I117</f>
        <v>167216</v>
      </c>
      <c r="K117" s="93" t="n">
        <f aca="false">K116+J117</f>
        <v>18038692</v>
      </c>
      <c r="L117" s="93" t="n">
        <f aca="false">MAX(前提条件!$C$94-K117,0)</f>
        <v>0</v>
      </c>
      <c r="M117" s="34" t="n">
        <f aca="false">前提条件!$C$10</f>
        <v>37500</v>
      </c>
      <c r="N117" s="93" t="n">
        <f aca="false">J117-M117-R117-S117</f>
        <v>125549.333333333</v>
      </c>
      <c r="O117" s="93" t="n">
        <f aca="false">O116+N117</f>
        <v>13455358.6666667</v>
      </c>
      <c r="P117" s="93" t="n">
        <f aca="false">前提条件!$C$8-SUM(M$8:M117)+IF(前提条件!$C$86&lt;3,前提条件!$C$85-SUM(R$8:R117),0)</f>
        <v>416666.666666667</v>
      </c>
      <c r="Q117" s="94" t="str">
        <f aca="false">IF(AND(K117&gt;=前提条件!$C$94,K116&lt;前提条件!$C$94),"◀投資回収","")</f>
        <v/>
      </c>
      <c r="R117" s="34" t="n">
        <f aca="false">IF(A117&lt;=前提条件!$C$89*12,前提条件!$C$90,0)</f>
        <v>4166.66666666667</v>
      </c>
      <c r="S117" s="34" t="n">
        <f aca="false">IF(A117=1,前提条件!$C$91,0)</f>
        <v>0</v>
      </c>
    </row>
    <row r="118" customFormat="false" ht="15" hidden="false" customHeight="false" outlineLevel="0" collapsed="false">
      <c r="A118" s="88" t="n">
        <v>111</v>
      </c>
      <c r="B118" s="89" t="n">
        <f aca="false">EDATE(前提条件!$C$11,A118-1)</f>
        <v>49766</v>
      </c>
      <c r="C118" s="90" t="n">
        <f aca="false">YEAR(B118)+IF(MONTH(B118)&gt;=7,1,0)-2027+48</f>
        <v>57</v>
      </c>
      <c r="D118" s="91" t="n">
        <f aca="false">前提条件!$C$26/365*DAY(EOMONTH(B118,0))</f>
        <v>30</v>
      </c>
      <c r="E118" s="92" t="n">
        <v>1</v>
      </c>
      <c r="F118" s="34" t="n">
        <f aca="false">前提条件!$C$64*D118*E118</f>
        <v>172500</v>
      </c>
      <c r="G118" s="34" t="n">
        <f aca="false">前提条件!$C$65*D118*E118</f>
        <v>2880</v>
      </c>
      <c r="H118" s="34" t="n">
        <f aca="false">(前提条件!$C$66+前提条件!$C$67)*D118</f>
        <v>6300</v>
      </c>
      <c r="I118" s="34" t="n">
        <f aca="false">前提条件!$C$74/12</f>
        <v>7500</v>
      </c>
      <c r="J118" s="93" t="n">
        <f aca="false">F118+G118-H118-I118</f>
        <v>161580</v>
      </c>
      <c r="K118" s="93" t="n">
        <f aca="false">K117+J118</f>
        <v>18200272</v>
      </c>
      <c r="L118" s="93" t="n">
        <f aca="false">MAX(前提条件!$C$94-K118,0)</f>
        <v>0</v>
      </c>
      <c r="M118" s="34" t="n">
        <f aca="false">前提条件!$C$10</f>
        <v>37500</v>
      </c>
      <c r="N118" s="93" t="n">
        <f aca="false">J118-M118-R118-S118</f>
        <v>119913.333333333</v>
      </c>
      <c r="O118" s="93" t="n">
        <f aca="false">O117+N118</f>
        <v>13575272</v>
      </c>
      <c r="P118" s="93" t="n">
        <f aca="false">前提条件!$C$8-SUM(M$8:M118)+IF(前提条件!$C$86&lt;3,前提条件!$C$85-SUM(R$8:R118),0)</f>
        <v>375000</v>
      </c>
      <c r="Q118" s="94" t="str">
        <f aca="false">IF(AND(K118&gt;=前提条件!$C$94,K117&lt;前提条件!$C$94),"◀投資回収","")</f>
        <v/>
      </c>
      <c r="R118" s="34" t="n">
        <f aca="false">IF(A118&lt;=前提条件!$C$89*12,前提条件!$C$90,0)</f>
        <v>4166.66666666667</v>
      </c>
      <c r="S118" s="34" t="n">
        <f aca="false">IF(A118=1,前提条件!$C$91,0)</f>
        <v>0</v>
      </c>
    </row>
    <row r="119" customFormat="false" ht="15" hidden="false" customHeight="false" outlineLevel="0" collapsed="false">
      <c r="A119" s="88" t="n">
        <v>112</v>
      </c>
      <c r="B119" s="89" t="n">
        <f aca="false">EDATE(前提条件!$C$11,A119-1)</f>
        <v>49796</v>
      </c>
      <c r="C119" s="90" t="n">
        <f aca="false">YEAR(B119)+IF(MONTH(B119)&gt;=7,1,0)-2027+48</f>
        <v>57</v>
      </c>
      <c r="D119" s="91" t="n">
        <f aca="false">前提条件!$C$26/365*DAY(EOMONTH(B119,0))</f>
        <v>31</v>
      </c>
      <c r="E119" s="92" t="n">
        <v>1</v>
      </c>
      <c r="F119" s="34" t="n">
        <f aca="false">前提条件!$C$64*D119*E119</f>
        <v>178250</v>
      </c>
      <c r="G119" s="34" t="n">
        <f aca="false">前提条件!$C$65*D119*E119</f>
        <v>2976</v>
      </c>
      <c r="H119" s="34" t="n">
        <f aca="false">(前提条件!$C$66+前提条件!$C$67)*D119</f>
        <v>6510</v>
      </c>
      <c r="I119" s="34" t="n">
        <f aca="false">前提条件!$C$74/12</f>
        <v>7500</v>
      </c>
      <c r="J119" s="93" t="n">
        <f aca="false">F119+G119-H119-I119</f>
        <v>167216</v>
      </c>
      <c r="K119" s="93" t="n">
        <f aca="false">K118+J119</f>
        <v>18367488</v>
      </c>
      <c r="L119" s="93" t="n">
        <f aca="false">MAX(前提条件!$C$94-K119,0)</f>
        <v>0</v>
      </c>
      <c r="M119" s="34" t="n">
        <f aca="false">前提条件!$C$10</f>
        <v>37500</v>
      </c>
      <c r="N119" s="93" t="n">
        <f aca="false">J119-M119-R119-S119</f>
        <v>125549.333333333</v>
      </c>
      <c r="O119" s="93" t="n">
        <f aca="false">O118+N119</f>
        <v>13700821.3333334</v>
      </c>
      <c r="P119" s="93" t="n">
        <f aca="false">前提条件!$C$8-SUM(M$8:M119)+IF(前提条件!$C$86&lt;3,前提条件!$C$85-SUM(R$8:R119),0)</f>
        <v>333333.333333333</v>
      </c>
      <c r="Q119" s="94" t="str">
        <f aca="false">IF(AND(K119&gt;=前提条件!$C$94,K118&lt;前提条件!$C$94),"◀投資回収","")</f>
        <v/>
      </c>
      <c r="R119" s="34" t="n">
        <f aca="false">IF(A119&lt;=前提条件!$C$89*12,前提条件!$C$90,0)</f>
        <v>4166.66666666667</v>
      </c>
      <c r="S119" s="34" t="n">
        <f aca="false">IF(A119=1,前提条件!$C$91,0)</f>
        <v>0</v>
      </c>
    </row>
    <row r="120" customFormat="false" ht="15" hidden="false" customHeight="false" outlineLevel="0" collapsed="false">
      <c r="A120" s="88" t="n">
        <v>113</v>
      </c>
      <c r="B120" s="89" t="n">
        <f aca="false">EDATE(前提条件!$C$11,A120-1)</f>
        <v>49827</v>
      </c>
      <c r="C120" s="90" t="n">
        <f aca="false">YEAR(B120)+IF(MONTH(B120)&gt;=7,1,0)-2027+48</f>
        <v>57</v>
      </c>
      <c r="D120" s="91" t="n">
        <f aca="false">前提条件!$C$26/365*DAY(EOMONTH(B120,0))</f>
        <v>30</v>
      </c>
      <c r="E120" s="92" t="n">
        <v>1</v>
      </c>
      <c r="F120" s="34" t="n">
        <f aca="false">前提条件!$C$64*D120*E120</f>
        <v>172500</v>
      </c>
      <c r="G120" s="34" t="n">
        <f aca="false">前提条件!$C$65*D120*E120</f>
        <v>2880</v>
      </c>
      <c r="H120" s="34" t="n">
        <f aca="false">(前提条件!$C$66+前提条件!$C$67)*D120</f>
        <v>6300</v>
      </c>
      <c r="I120" s="34" t="n">
        <f aca="false">前提条件!$C$74/12</f>
        <v>7500</v>
      </c>
      <c r="J120" s="93" t="n">
        <f aca="false">F120+G120-H120-I120</f>
        <v>161580</v>
      </c>
      <c r="K120" s="93" t="n">
        <f aca="false">K119+J120</f>
        <v>18529068</v>
      </c>
      <c r="L120" s="93" t="n">
        <f aca="false">MAX(前提条件!$C$94-K120,0)</f>
        <v>0</v>
      </c>
      <c r="M120" s="34" t="n">
        <f aca="false">前提条件!$C$10</f>
        <v>37500</v>
      </c>
      <c r="N120" s="93" t="n">
        <f aca="false">J120-M120-R120-S120</f>
        <v>119913.333333333</v>
      </c>
      <c r="O120" s="93" t="n">
        <f aca="false">O119+N120</f>
        <v>13820734.6666667</v>
      </c>
      <c r="P120" s="93" t="n">
        <f aca="false">前提条件!$C$8-SUM(M$8:M120)+IF(前提条件!$C$86&lt;3,前提条件!$C$85-SUM(R$8:R120),0)</f>
        <v>291666.666666667</v>
      </c>
      <c r="Q120" s="94" t="str">
        <f aca="false">IF(AND(K120&gt;=前提条件!$C$94,K119&lt;前提条件!$C$94),"◀投資回収","")</f>
        <v/>
      </c>
      <c r="R120" s="34" t="n">
        <f aca="false">IF(A120&lt;=前提条件!$C$89*12,前提条件!$C$90,0)</f>
        <v>4166.66666666667</v>
      </c>
      <c r="S120" s="34" t="n">
        <f aca="false">IF(A120=1,前提条件!$C$91,0)</f>
        <v>0</v>
      </c>
    </row>
    <row r="121" customFormat="false" ht="15" hidden="false" customHeight="false" outlineLevel="0" collapsed="false">
      <c r="A121" s="88" t="n">
        <v>114</v>
      </c>
      <c r="B121" s="89" t="n">
        <f aca="false">EDATE(前提条件!$C$11,A121-1)</f>
        <v>49857</v>
      </c>
      <c r="C121" s="90" t="n">
        <f aca="false">YEAR(B121)+IF(MONTH(B121)&gt;=7,1,0)-2027+48</f>
        <v>58</v>
      </c>
      <c r="D121" s="91" t="n">
        <f aca="false">前提条件!$C$26/365*DAY(EOMONTH(B121,0))</f>
        <v>31</v>
      </c>
      <c r="E121" s="92" t="n">
        <v>1</v>
      </c>
      <c r="F121" s="34" t="n">
        <f aca="false">前提条件!$C$64*D121*E121</f>
        <v>178250</v>
      </c>
      <c r="G121" s="34" t="n">
        <f aca="false">前提条件!$C$65*D121*E121</f>
        <v>2976</v>
      </c>
      <c r="H121" s="34" t="n">
        <f aca="false">(前提条件!$C$66+前提条件!$C$67)*D121</f>
        <v>6510</v>
      </c>
      <c r="I121" s="34" t="n">
        <f aca="false">前提条件!$C$74/12</f>
        <v>7500</v>
      </c>
      <c r="J121" s="93" t="n">
        <f aca="false">F121+G121-H121-I121</f>
        <v>167216</v>
      </c>
      <c r="K121" s="93" t="n">
        <f aca="false">K120+J121</f>
        <v>18696284</v>
      </c>
      <c r="L121" s="93" t="n">
        <f aca="false">MAX(前提条件!$C$94-K121,0)</f>
        <v>0</v>
      </c>
      <c r="M121" s="34" t="n">
        <f aca="false">前提条件!$C$10</f>
        <v>37500</v>
      </c>
      <c r="N121" s="93" t="n">
        <f aca="false">J121-M121-R121-S121</f>
        <v>125549.333333333</v>
      </c>
      <c r="O121" s="93" t="n">
        <f aca="false">O120+N121</f>
        <v>13946284</v>
      </c>
      <c r="P121" s="93" t="n">
        <f aca="false">前提条件!$C$8-SUM(M$8:M121)+IF(前提条件!$C$86&lt;3,前提条件!$C$85-SUM(R$8:R121),0)</f>
        <v>250000</v>
      </c>
      <c r="Q121" s="94" t="str">
        <f aca="false">IF(AND(K121&gt;=前提条件!$C$94,K120&lt;前提条件!$C$94),"◀投資回収","")</f>
        <v/>
      </c>
      <c r="R121" s="34" t="n">
        <f aca="false">IF(A121&lt;=前提条件!$C$89*12,前提条件!$C$90,0)</f>
        <v>4166.66666666667</v>
      </c>
      <c r="S121" s="34" t="n">
        <f aca="false">IF(A121=1,前提条件!$C$91,0)</f>
        <v>0</v>
      </c>
    </row>
    <row r="122" customFormat="false" ht="15" hidden="false" customHeight="false" outlineLevel="0" collapsed="false">
      <c r="A122" s="88" t="n">
        <v>115</v>
      </c>
      <c r="B122" s="89" t="n">
        <f aca="false">EDATE(前提条件!$C$11,A122-1)</f>
        <v>49888</v>
      </c>
      <c r="C122" s="90" t="n">
        <f aca="false">YEAR(B122)+IF(MONTH(B122)&gt;=7,1,0)-2027+48</f>
        <v>58</v>
      </c>
      <c r="D122" s="91" t="n">
        <f aca="false">前提条件!$C$26/365*DAY(EOMONTH(B122,0))</f>
        <v>31</v>
      </c>
      <c r="E122" s="92" t="n">
        <v>1</v>
      </c>
      <c r="F122" s="34" t="n">
        <f aca="false">前提条件!$C$64*D122*E122</f>
        <v>178250</v>
      </c>
      <c r="G122" s="34" t="n">
        <f aca="false">前提条件!$C$65*D122*E122</f>
        <v>2976</v>
      </c>
      <c r="H122" s="34" t="n">
        <f aca="false">(前提条件!$C$66+前提条件!$C$67)*D122</f>
        <v>6510</v>
      </c>
      <c r="I122" s="34" t="n">
        <f aca="false">前提条件!$C$74/12</f>
        <v>7500</v>
      </c>
      <c r="J122" s="93" t="n">
        <f aca="false">F122+G122-H122-I122</f>
        <v>167216</v>
      </c>
      <c r="K122" s="93" t="n">
        <f aca="false">K121+J122</f>
        <v>18863500</v>
      </c>
      <c r="L122" s="93" t="n">
        <f aca="false">MAX(前提条件!$C$94-K122,0)</f>
        <v>0</v>
      </c>
      <c r="M122" s="34" t="n">
        <f aca="false">前提条件!$C$10</f>
        <v>37500</v>
      </c>
      <c r="N122" s="93" t="n">
        <f aca="false">J122-M122-R122-S122</f>
        <v>125549.333333333</v>
      </c>
      <c r="O122" s="93" t="n">
        <f aca="false">O121+N122</f>
        <v>14071833.3333334</v>
      </c>
      <c r="P122" s="93" t="n">
        <f aca="false">前提条件!$C$8-SUM(M$8:M122)+IF(前提条件!$C$86&lt;3,前提条件!$C$85-SUM(R$8:R122),0)</f>
        <v>208333.333333333</v>
      </c>
      <c r="Q122" s="94" t="str">
        <f aca="false">IF(AND(K122&gt;=前提条件!$C$94,K121&lt;前提条件!$C$94),"◀投資回収","")</f>
        <v/>
      </c>
      <c r="R122" s="34" t="n">
        <f aca="false">IF(A122&lt;=前提条件!$C$89*12,前提条件!$C$90,0)</f>
        <v>4166.66666666667</v>
      </c>
      <c r="S122" s="34" t="n">
        <f aca="false">IF(A122=1,前提条件!$C$91,0)</f>
        <v>0</v>
      </c>
    </row>
    <row r="123" customFormat="false" ht="15" hidden="false" customHeight="false" outlineLevel="0" collapsed="false">
      <c r="A123" s="88" t="n">
        <v>116</v>
      </c>
      <c r="B123" s="89" t="n">
        <f aca="false">EDATE(前提条件!$C$11,A123-1)</f>
        <v>49919</v>
      </c>
      <c r="C123" s="90" t="n">
        <f aca="false">YEAR(B123)+IF(MONTH(B123)&gt;=7,1,0)-2027+48</f>
        <v>58</v>
      </c>
      <c r="D123" s="91" t="n">
        <f aca="false">前提条件!$C$26/365*DAY(EOMONTH(B123,0))</f>
        <v>30</v>
      </c>
      <c r="E123" s="92" t="n">
        <v>1</v>
      </c>
      <c r="F123" s="34" t="n">
        <f aca="false">前提条件!$C$64*D123*E123</f>
        <v>172500</v>
      </c>
      <c r="G123" s="34" t="n">
        <f aca="false">前提条件!$C$65*D123*E123</f>
        <v>2880</v>
      </c>
      <c r="H123" s="34" t="n">
        <f aca="false">(前提条件!$C$66+前提条件!$C$67)*D123</f>
        <v>6300</v>
      </c>
      <c r="I123" s="34" t="n">
        <f aca="false">前提条件!$C$74/12</f>
        <v>7500</v>
      </c>
      <c r="J123" s="93" t="n">
        <f aca="false">F123+G123-H123-I123</f>
        <v>161580</v>
      </c>
      <c r="K123" s="93" t="n">
        <f aca="false">K122+J123</f>
        <v>19025080</v>
      </c>
      <c r="L123" s="93" t="n">
        <f aca="false">MAX(前提条件!$C$94-K123,0)</f>
        <v>0</v>
      </c>
      <c r="M123" s="34" t="n">
        <f aca="false">前提条件!$C$10</f>
        <v>37500</v>
      </c>
      <c r="N123" s="93" t="n">
        <f aca="false">J123-M123-R123-S123</f>
        <v>119913.333333333</v>
      </c>
      <c r="O123" s="93" t="n">
        <f aca="false">O122+N123</f>
        <v>14191746.6666667</v>
      </c>
      <c r="P123" s="93" t="n">
        <f aca="false">前提条件!$C$8-SUM(M$8:M123)+IF(前提条件!$C$86&lt;3,前提条件!$C$85-SUM(R$8:R123),0)</f>
        <v>166666.666666667</v>
      </c>
      <c r="Q123" s="94" t="str">
        <f aca="false">IF(AND(K123&gt;=前提条件!$C$94,K122&lt;前提条件!$C$94),"◀投資回収","")</f>
        <v/>
      </c>
      <c r="R123" s="34" t="n">
        <f aca="false">IF(A123&lt;=前提条件!$C$89*12,前提条件!$C$90,0)</f>
        <v>4166.66666666667</v>
      </c>
      <c r="S123" s="34" t="n">
        <f aca="false">IF(A123=1,前提条件!$C$91,0)</f>
        <v>0</v>
      </c>
    </row>
    <row r="124" customFormat="false" ht="15" hidden="false" customHeight="false" outlineLevel="0" collapsed="false">
      <c r="A124" s="88" t="n">
        <v>117</v>
      </c>
      <c r="B124" s="89" t="n">
        <f aca="false">EDATE(前提条件!$C$11,A124-1)</f>
        <v>49949</v>
      </c>
      <c r="C124" s="90" t="n">
        <f aca="false">YEAR(B124)+IF(MONTH(B124)&gt;=7,1,0)-2027+48</f>
        <v>58</v>
      </c>
      <c r="D124" s="91" t="n">
        <f aca="false">前提条件!$C$26/365*DAY(EOMONTH(B124,0))</f>
        <v>31</v>
      </c>
      <c r="E124" s="92" t="n">
        <v>1</v>
      </c>
      <c r="F124" s="34" t="n">
        <f aca="false">前提条件!$C$64*D124*E124</f>
        <v>178250</v>
      </c>
      <c r="G124" s="34" t="n">
        <f aca="false">前提条件!$C$65*D124*E124</f>
        <v>2976</v>
      </c>
      <c r="H124" s="34" t="n">
        <f aca="false">(前提条件!$C$66+前提条件!$C$67)*D124</f>
        <v>6510</v>
      </c>
      <c r="I124" s="34" t="n">
        <f aca="false">前提条件!$C$74/12</f>
        <v>7500</v>
      </c>
      <c r="J124" s="93" t="n">
        <f aca="false">F124+G124-H124-I124</f>
        <v>167216</v>
      </c>
      <c r="K124" s="93" t="n">
        <f aca="false">K123+J124</f>
        <v>19192296</v>
      </c>
      <c r="L124" s="93" t="n">
        <f aca="false">MAX(前提条件!$C$94-K124,0)</f>
        <v>0</v>
      </c>
      <c r="M124" s="34" t="n">
        <f aca="false">前提条件!$C$10</f>
        <v>37500</v>
      </c>
      <c r="N124" s="93" t="n">
        <f aca="false">J124-M124-R124-S124</f>
        <v>125549.333333333</v>
      </c>
      <c r="O124" s="93" t="n">
        <f aca="false">O123+N124</f>
        <v>14317296</v>
      </c>
      <c r="P124" s="93" t="n">
        <f aca="false">前提条件!$C$8-SUM(M$8:M124)+IF(前提条件!$C$86&lt;3,前提条件!$C$85-SUM(R$8:R124),0)</f>
        <v>125000</v>
      </c>
      <c r="Q124" s="94" t="str">
        <f aca="false">IF(AND(K124&gt;=前提条件!$C$94,K123&lt;前提条件!$C$94),"◀投資回収","")</f>
        <v/>
      </c>
      <c r="R124" s="34" t="n">
        <f aca="false">IF(A124&lt;=前提条件!$C$89*12,前提条件!$C$90,0)</f>
        <v>4166.66666666667</v>
      </c>
      <c r="S124" s="34" t="n">
        <f aca="false">IF(A124=1,前提条件!$C$91,0)</f>
        <v>0</v>
      </c>
    </row>
    <row r="125" customFormat="false" ht="15" hidden="false" customHeight="false" outlineLevel="0" collapsed="false">
      <c r="A125" s="88" t="n">
        <v>118</v>
      </c>
      <c r="B125" s="89" t="n">
        <f aca="false">EDATE(前提条件!$C$11,A125-1)</f>
        <v>49980</v>
      </c>
      <c r="C125" s="90" t="n">
        <f aca="false">YEAR(B125)+IF(MONTH(B125)&gt;=7,1,0)-2027+48</f>
        <v>58</v>
      </c>
      <c r="D125" s="91" t="n">
        <f aca="false">前提条件!$C$26/365*DAY(EOMONTH(B125,0))</f>
        <v>30</v>
      </c>
      <c r="E125" s="92" t="n">
        <v>1</v>
      </c>
      <c r="F125" s="34" t="n">
        <f aca="false">前提条件!$C$64*D125*E125</f>
        <v>172500</v>
      </c>
      <c r="G125" s="34" t="n">
        <f aca="false">前提条件!$C$65*D125*E125</f>
        <v>2880</v>
      </c>
      <c r="H125" s="34" t="n">
        <f aca="false">(前提条件!$C$66+前提条件!$C$67)*D125</f>
        <v>6300</v>
      </c>
      <c r="I125" s="34" t="n">
        <f aca="false">前提条件!$C$74/12</f>
        <v>7500</v>
      </c>
      <c r="J125" s="93" t="n">
        <f aca="false">F125+G125-H125-I125</f>
        <v>161580</v>
      </c>
      <c r="K125" s="93" t="n">
        <f aca="false">K124+J125</f>
        <v>19353876</v>
      </c>
      <c r="L125" s="93" t="n">
        <f aca="false">MAX(前提条件!$C$94-K125,0)</f>
        <v>0</v>
      </c>
      <c r="M125" s="34" t="n">
        <f aca="false">前提条件!$C$10</f>
        <v>37500</v>
      </c>
      <c r="N125" s="93" t="n">
        <f aca="false">J125-M125-R125-S125</f>
        <v>119913.333333333</v>
      </c>
      <c r="O125" s="93" t="n">
        <f aca="false">O124+N125</f>
        <v>14437209.3333334</v>
      </c>
      <c r="P125" s="93" t="n">
        <f aca="false">前提条件!$C$8-SUM(M$8:M125)+IF(前提条件!$C$86&lt;3,前提条件!$C$85-SUM(R$8:R125),0)</f>
        <v>83333.3333333333</v>
      </c>
      <c r="Q125" s="94" t="str">
        <f aca="false">IF(AND(K125&gt;=前提条件!$C$94,K124&lt;前提条件!$C$94),"◀投資回収","")</f>
        <v/>
      </c>
      <c r="R125" s="34" t="n">
        <f aca="false">IF(A125&lt;=前提条件!$C$89*12,前提条件!$C$90,0)</f>
        <v>4166.66666666667</v>
      </c>
      <c r="S125" s="34" t="n">
        <f aca="false">IF(A125=1,前提条件!$C$91,0)</f>
        <v>0</v>
      </c>
    </row>
    <row r="126" customFormat="false" ht="15" hidden="false" customHeight="false" outlineLevel="0" collapsed="false">
      <c r="A126" s="88" t="n">
        <v>119</v>
      </c>
      <c r="B126" s="89" t="n">
        <f aca="false">EDATE(前提条件!$C$11,A126-1)</f>
        <v>50010</v>
      </c>
      <c r="C126" s="90" t="n">
        <f aca="false">YEAR(B126)+IF(MONTH(B126)&gt;=7,1,0)-2027+48</f>
        <v>58</v>
      </c>
      <c r="D126" s="91" t="n">
        <f aca="false">前提条件!$C$26/365*DAY(EOMONTH(B126,0))</f>
        <v>31</v>
      </c>
      <c r="E126" s="92" t="n">
        <v>1</v>
      </c>
      <c r="F126" s="34" t="n">
        <f aca="false">前提条件!$C$64*D126*E126</f>
        <v>178250</v>
      </c>
      <c r="G126" s="34" t="n">
        <f aca="false">前提条件!$C$65*D126*E126</f>
        <v>2976</v>
      </c>
      <c r="H126" s="34" t="n">
        <f aca="false">(前提条件!$C$66+前提条件!$C$67)*D126</f>
        <v>6510</v>
      </c>
      <c r="I126" s="34" t="n">
        <f aca="false">前提条件!$C$74/12</f>
        <v>7500</v>
      </c>
      <c r="J126" s="93" t="n">
        <f aca="false">F126+G126-H126-I126</f>
        <v>167216</v>
      </c>
      <c r="K126" s="93" t="n">
        <f aca="false">K125+J126</f>
        <v>19521092</v>
      </c>
      <c r="L126" s="93" t="n">
        <f aca="false">MAX(前提条件!$C$94-K126,0)</f>
        <v>0</v>
      </c>
      <c r="M126" s="34" t="n">
        <f aca="false">前提条件!$C$10</f>
        <v>37500</v>
      </c>
      <c r="N126" s="93" t="n">
        <f aca="false">J126-M126-R126-S126</f>
        <v>125549.333333333</v>
      </c>
      <c r="O126" s="93" t="n">
        <f aca="false">O125+N126</f>
        <v>14562758.6666667</v>
      </c>
      <c r="P126" s="93" t="n">
        <f aca="false">前提条件!$C$8-SUM(M$8:M126)+IF(前提条件!$C$86&lt;3,前提条件!$C$85-SUM(R$8:R126),0)</f>
        <v>41666.6666666666</v>
      </c>
      <c r="Q126" s="94" t="str">
        <f aca="false">IF(AND(K126&gt;=前提条件!$C$94,K125&lt;前提条件!$C$94),"◀投資回収","")</f>
        <v/>
      </c>
      <c r="R126" s="34" t="n">
        <f aca="false">IF(A126&lt;=前提条件!$C$89*12,前提条件!$C$90,0)</f>
        <v>4166.66666666667</v>
      </c>
      <c r="S126" s="34" t="n">
        <f aca="false">IF(A126=1,前提条件!$C$91,0)</f>
        <v>0</v>
      </c>
    </row>
    <row r="127" customFormat="false" ht="15" hidden="false" customHeight="false" outlineLevel="0" collapsed="false">
      <c r="A127" s="88" t="n">
        <v>120</v>
      </c>
      <c r="B127" s="89" t="n">
        <f aca="false">EDATE(前提条件!$C$11,A127-1)</f>
        <v>50041</v>
      </c>
      <c r="C127" s="90" t="n">
        <f aca="false">YEAR(B127)+IF(MONTH(B127)&gt;=7,1,0)-2027+48</f>
        <v>58</v>
      </c>
      <c r="D127" s="91" t="n">
        <f aca="false">前提条件!$C$26/365*DAY(EOMONTH(B127,0))</f>
        <v>31</v>
      </c>
      <c r="E127" s="92" t="n">
        <v>1</v>
      </c>
      <c r="F127" s="34" t="n">
        <f aca="false">前提条件!$C$64*D127*E127</f>
        <v>178250</v>
      </c>
      <c r="G127" s="34" t="n">
        <f aca="false">前提条件!$C$65*D127*E127</f>
        <v>2976</v>
      </c>
      <c r="H127" s="34" t="n">
        <f aca="false">(前提条件!$C$66+前提条件!$C$67)*D127</f>
        <v>6510</v>
      </c>
      <c r="I127" s="34" t="n">
        <f aca="false">前提条件!$C$74/12</f>
        <v>7500</v>
      </c>
      <c r="J127" s="93" t="n">
        <f aca="false">F127+G127-H127-I127</f>
        <v>167216</v>
      </c>
      <c r="K127" s="93" t="n">
        <f aca="false">K126+J127</f>
        <v>19688308</v>
      </c>
      <c r="L127" s="93" t="n">
        <f aca="false">MAX(前提条件!$C$94-K127,0)</f>
        <v>0</v>
      </c>
      <c r="M127" s="34" t="n">
        <f aca="false">前提条件!$C$10</f>
        <v>37500</v>
      </c>
      <c r="N127" s="93" t="n">
        <f aca="false">J127-M127-R127-S127</f>
        <v>125549.333333333</v>
      </c>
      <c r="O127" s="93" t="n">
        <f aca="false">O126+N127</f>
        <v>14688308</v>
      </c>
      <c r="P127" s="93" t="n">
        <f aca="false">前提条件!$C$8-SUM(M$8:M127)+IF(前提条件!$C$86&lt;3,前提条件!$C$85-SUM(R$8:R127),0)</f>
        <v>0</v>
      </c>
      <c r="Q127" s="94" t="str">
        <f aca="false">IF(AND(K127&gt;=前提条件!$C$94,K126&lt;前提条件!$C$94),"◀投資回収","")</f>
        <v/>
      </c>
      <c r="R127" s="34" t="n">
        <f aca="false">IF(A127&lt;=前提条件!$C$89*12,前提条件!$C$90,0)</f>
        <v>4166.66666666667</v>
      </c>
      <c r="S127" s="34" t="n">
        <f aca="false">IF(A127=1,前提条件!$C$91,0)</f>
        <v>0</v>
      </c>
    </row>
  </sheetData>
  <conditionalFormatting sqref="A8:S127">
    <cfRule type="expression" priority="2" aboveAverage="0" equalAverage="0" bottom="0" percent="0" rank="0" text="" dxfId="1">
      <formula>$Q8&lt;&gt;""</formula>
    </cfRule>
    <cfRule type="expression" priority="3" aboveAverage="0" equalAverage="0" bottom="0" percent="0" rank="0" text="" dxfId="2">
      <formula>MONTH($B8)=7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13" min="5" style="0" width="13"/>
  </cols>
  <sheetData>
    <row r="1" customFormat="false" ht="19.4" hidden="false" customHeight="false" outlineLevel="0" collapsed="false">
      <c r="B1" s="64" t="s">
        <v>301</v>
      </c>
    </row>
    <row r="2" customFormat="false" ht="15" hidden="false" customHeight="false" outlineLevel="0" collapsed="false">
      <c r="B2" s="14" t="s">
        <v>302</v>
      </c>
    </row>
    <row r="4" customFormat="false" ht="30" hidden="false" customHeight="true" outlineLevel="0" collapsed="false">
      <c r="B4" s="27" t="s">
        <v>284</v>
      </c>
      <c r="C4" s="27" t="s">
        <v>303</v>
      </c>
      <c r="D4" s="27" t="s">
        <v>304</v>
      </c>
      <c r="E4" s="27" t="s">
        <v>305</v>
      </c>
      <c r="F4" s="27" t="s">
        <v>294</v>
      </c>
      <c r="G4" s="27" t="s">
        <v>306</v>
      </c>
      <c r="H4" s="27" t="s">
        <v>307</v>
      </c>
      <c r="I4" s="27" t="s">
        <v>308</v>
      </c>
      <c r="J4" s="27" t="s">
        <v>292</v>
      </c>
      <c r="K4" s="27" t="s">
        <v>293</v>
      </c>
      <c r="L4" s="27" t="s">
        <v>297</v>
      </c>
      <c r="M4" s="27" t="s">
        <v>296</v>
      </c>
    </row>
    <row r="5" customFormat="false" ht="15" hidden="false" customHeight="false" outlineLevel="0" collapsed="false">
      <c r="B5" s="95" t="n">
        <v>48</v>
      </c>
      <c r="C5" s="96" t="str">
        <f aca="false">"2026年7月〜2027年6月"</f>
        <v>2026年7月〜2027年6月</v>
      </c>
      <c r="D5" s="74" t="n">
        <f aca="false">COUNTIF(投資回収_月次!$C$8:$C$127,B5)</f>
        <v>5</v>
      </c>
      <c r="E5" s="29" t="n">
        <f aca="false">SUMIFS(投資回収_月次!$J$8:$J$127,投資回収_月次!$C$8:$C$127,B5)</f>
        <v>807900</v>
      </c>
      <c r="F5" s="29" t="n">
        <f aca="false">SUMIFS(投資回収_月次!$M$8:$M$127,投資回収_月次!$C$8:$C$127,B5)</f>
        <v>187500</v>
      </c>
      <c r="G5" s="29" t="n">
        <f aca="false">SUMIFS(投資回収_月次!$R$8:$R$127,投資回収_月次!$C$8:$C$127,B5)</f>
        <v>20833.3333333333</v>
      </c>
      <c r="H5" s="29" t="n">
        <f aca="false">SUMIFS(投資回収_月次!$S$8:$S$127,投資回収_月次!$C$8:$C$127,B5)</f>
        <v>0</v>
      </c>
      <c r="I5" s="39" t="n">
        <f aca="false">E5-F5-G5-H5</f>
        <v>599566.666666667</v>
      </c>
      <c r="J5" s="39" t="n">
        <f aca="false">SUM(E$5:E5)</f>
        <v>807900</v>
      </c>
      <c r="K5" s="39" t="n">
        <f aca="false">MAX(前提条件!$C$94-J5,0)</f>
        <v>4192100</v>
      </c>
      <c r="L5" s="39" t="n">
        <f aca="false">前提条件!$C$8-SUM(F$5:F5)+IF(前提条件!$C$86&lt;3,前提条件!$C$85-SUM(G$5:G5),0)</f>
        <v>4791666.66666667</v>
      </c>
      <c r="M5" s="39" t="n">
        <f aca="false">SUM(I$5:I5)</f>
        <v>599566.666666667</v>
      </c>
    </row>
    <row r="6" customFormat="false" ht="15" hidden="false" customHeight="false" outlineLevel="0" collapsed="false">
      <c r="B6" s="95" t="n">
        <v>49</v>
      </c>
      <c r="C6" s="96" t="str">
        <f aca="false">"2027年7月〜2028年6月"</f>
        <v>2027年7月〜2028年6月</v>
      </c>
      <c r="D6" s="74" t="n">
        <f aca="false">COUNTIF(投資回収_月次!$C$8:$C$127,B6)</f>
        <v>12</v>
      </c>
      <c r="E6" s="29" t="n">
        <f aca="false">SUMIFS(投資回収_月次!$J$8:$J$127,投資回収_月次!$C$8:$C$127,B6)</f>
        <v>1972776</v>
      </c>
      <c r="F6" s="29" t="n">
        <f aca="false">SUMIFS(投資回収_月次!$M$8:$M$127,投資回収_月次!$C$8:$C$127,B6)</f>
        <v>450000</v>
      </c>
      <c r="G6" s="29" t="n">
        <f aca="false">SUMIFS(投資回収_月次!$R$8:$R$127,投資回収_月次!$C$8:$C$127,B6)</f>
        <v>50000</v>
      </c>
      <c r="H6" s="29" t="n">
        <f aca="false">SUMIFS(投資回収_月次!$S$8:$S$127,投資回収_月次!$C$8:$C$127,B6)</f>
        <v>0</v>
      </c>
      <c r="I6" s="39" t="n">
        <f aca="false">E6-F6-G6-H6</f>
        <v>1472776</v>
      </c>
      <c r="J6" s="39" t="n">
        <f aca="false">SUM(E$5:E6)</f>
        <v>2780676</v>
      </c>
      <c r="K6" s="39" t="n">
        <f aca="false">MAX(前提条件!$C$94-J6,0)</f>
        <v>2219324</v>
      </c>
      <c r="L6" s="39" t="n">
        <f aca="false">前提条件!$C$8-SUM(F$5:F6)+IF(前提条件!$C$86&lt;3,前提条件!$C$85-SUM(G$5:G6),0)</f>
        <v>4291666.66666667</v>
      </c>
      <c r="M6" s="39" t="n">
        <f aca="false">SUM(I$5:I6)</f>
        <v>2072342.66666667</v>
      </c>
    </row>
    <row r="7" customFormat="false" ht="15" hidden="false" customHeight="false" outlineLevel="0" collapsed="false">
      <c r="B7" s="95" t="n">
        <v>50</v>
      </c>
      <c r="C7" s="96" t="str">
        <f aca="false">"2028年7月〜2029年6月"</f>
        <v>2028年7月〜2029年6月</v>
      </c>
      <c r="D7" s="74" t="n">
        <f aca="false">COUNTIF(投資回収_月次!$C$8:$C$127,B7)</f>
        <v>12</v>
      </c>
      <c r="E7" s="29" t="n">
        <f aca="false">SUMIFS(投資回収_月次!$J$8:$J$127,投資回収_月次!$C$8:$C$127,B7)</f>
        <v>1967140</v>
      </c>
      <c r="F7" s="29" t="n">
        <f aca="false">SUMIFS(投資回収_月次!$M$8:$M$127,投資回収_月次!$C$8:$C$127,B7)</f>
        <v>450000</v>
      </c>
      <c r="G7" s="29" t="n">
        <f aca="false">SUMIFS(投資回収_月次!$R$8:$R$127,投資回収_月次!$C$8:$C$127,B7)</f>
        <v>50000</v>
      </c>
      <c r="H7" s="29" t="n">
        <f aca="false">SUMIFS(投資回収_月次!$S$8:$S$127,投資回収_月次!$C$8:$C$127,B7)</f>
        <v>0</v>
      </c>
      <c r="I7" s="39" t="n">
        <f aca="false">E7-F7-G7-H7</f>
        <v>1467140</v>
      </c>
      <c r="J7" s="39" t="n">
        <f aca="false">SUM(E$5:E7)</f>
        <v>4747816</v>
      </c>
      <c r="K7" s="39" t="n">
        <f aca="false">MAX(前提条件!$C$94-J7,0)</f>
        <v>252184</v>
      </c>
      <c r="L7" s="39" t="n">
        <f aca="false">前提条件!$C$8-SUM(F$5:F7)+IF(前提条件!$C$86&lt;3,前提条件!$C$85-SUM(G$5:G7),0)</f>
        <v>3791666.66666667</v>
      </c>
      <c r="M7" s="39" t="n">
        <f aca="false">SUM(I$5:I7)</f>
        <v>3539482.66666667</v>
      </c>
    </row>
    <row r="8" customFormat="false" ht="15" hidden="false" customHeight="false" outlineLevel="0" collapsed="false">
      <c r="B8" s="95" t="n">
        <v>51</v>
      </c>
      <c r="C8" s="96" t="str">
        <f aca="false">"2029年7月〜2030年6月"</f>
        <v>2029年7月〜2030年6月</v>
      </c>
      <c r="D8" s="74" t="n">
        <f aca="false">COUNTIF(投資回収_月次!$C$8:$C$127,B8)</f>
        <v>12</v>
      </c>
      <c r="E8" s="29" t="n">
        <f aca="false">SUMIFS(投資回収_月次!$J$8:$J$127,投資回収_月次!$C$8:$C$127,B8)</f>
        <v>1967140</v>
      </c>
      <c r="F8" s="29" t="n">
        <f aca="false">SUMIFS(投資回収_月次!$M$8:$M$127,投資回収_月次!$C$8:$C$127,B8)</f>
        <v>450000</v>
      </c>
      <c r="G8" s="29" t="n">
        <f aca="false">SUMIFS(投資回収_月次!$R$8:$R$127,投資回収_月次!$C$8:$C$127,B8)</f>
        <v>50000</v>
      </c>
      <c r="H8" s="29" t="n">
        <f aca="false">SUMIFS(投資回収_月次!$S$8:$S$127,投資回収_月次!$C$8:$C$127,B8)</f>
        <v>0</v>
      </c>
      <c r="I8" s="39" t="n">
        <f aca="false">E8-F8-G8-H8</f>
        <v>1467140</v>
      </c>
      <c r="J8" s="39" t="n">
        <f aca="false">SUM(E$5:E8)</f>
        <v>6714956</v>
      </c>
      <c r="K8" s="39" t="n">
        <f aca="false">MAX(前提条件!$C$94-J8,0)</f>
        <v>0</v>
      </c>
      <c r="L8" s="39" t="n">
        <f aca="false">前提条件!$C$8-SUM(F$5:F8)+IF(前提条件!$C$86&lt;3,前提条件!$C$85-SUM(G$5:G8),0)</f>
        <v>3291666.66666667</v>
      </c>
      <c r="M8" s="39" t="n">
        <f aca="false">SUM(I$5:I8)</f>
        <v>5006622.66666667</v>
      </c>
    </row>
    <row r="9" customFormat="false" ht="15" hidden="false" customHeight="false" outlineLevel="0" collapsed="false">
      <c r="B9" s="95" t="n">
        <v>52</v>
      </c>
      <c r="C9" s="96" t="str">
        <f aca="false">"2030年7月〜2031年6月"</f>
        <v>2030年7月〜2031年6月</v>
      </c>
      <c r="D9" s="74" t="n">
        <f aca="false">COUNTIF(投資回収_月次!$C$8:$C$127,B9)</f>
        <v>12</v>
      </c>
      <c r="E9" s="29" t="n">
        <f aca="false">SUMIFS(投資回収_月次!$J$8:$J$127,投資回収_月次!$C$8:$C$127,B9)</f>
        <v>1967140</v>
      </c>
      <c r="F9" s="29" t="n">
        <f aca="false">SUMIFS(投資回収_月次!$M$8:$M$127,投資回収_月次!$C$8:$C$127,B9)</f>
        <v>450000</v>
      </c>
      <c r="G9" s="29" t="n">
        <f aca="false">SUMIFS(投資回収_月次!$R$8:$R$127,投資回収_月次!$C$8:$C$127,B9)</f>
        <v>50000</v>
      </c>
      <c r="H9" s="29" t="n">
        <f aca="false">SUMIFS(投資回収_月次!$S$8:$S$127,投資回収_月次!$C$8:$C$127,B9)</f>
        <v>0</v>
      </c>
      <c r="I9" s="39" t="n">
        <f aca="false">E9-F9-G9-H9</f>
        <v>1467140</v>
      </c>
      <c r="J9" s="39" t="n">
        <f aca="false">SUM(E$5:E9)</f>
        <v>8682096</v>
      </c>
      <c r="K9" s="39" t="n">
        <f aca="false">MAX(前提条件!$C$94-J9,0)</f>
        <v>0</v>
      </c>
      <c r="L9" s="39" t="n">
        <f aca="false">前提条件!$C$8-SUM(F$5:F9)+IF(前提条件!$C$86&lt;3,前提条件!$C$85-SUM(G$5:G9),0)</f>
        <v>2791666.66666667</v>
      </c>
      <c r="M9" s="39" t="n">
        <f aca="false">SUM(I$5:I9)</f>
        <v>6473762.66666667</v>
      </c>
    </row>
    <row r="10" customFormat="false" ht="15" hidden="false" customHeight="false" outlineLevel="0" collapsed="false">
      <c r="B10" s="95" t="n">
        <v>53</v>
      </c>
      <c r="C10" s="96" t="str">
        <f aca="false">"2031年7月〜2032年6月"</f>
        <v>2031年7月〜2032年6月</v>
      </c>
      <c r="D10" s="74" t="n">
        <f aca="false">COUNTIF(投資回収_月次!$C$8:$C$127,B10)</f>
        <v>12</v>
      </c>
      <c r="E10" s="29" t="n">
        <f aca="false">SUMIFS(投資回収_月次!$J$8:$J$127,投資回収_月次!$C$8:$C$127,B10)</f>
        <v>1972776</v>
      </c>
      <c r="F10" s="29" t="n">
        <f aca="false">SUMIFS(投資回収_月次!$M$8:$M$127,投資回収_月次!$C$8:$C$127,B10)</f>
        <v>450000</v>
      </c>
      <c r="G10" s="29" t="n">
        <f aca="false">SUMIFS(投資回収_月次!$R$8:$R$127,投資回収_月次!$C$8:$C$127,B10)</f>
        <v>50000</v>
      </c>
      <c r="H10" s="29" t="n">
        <f aca="false">SUMIFS(投資回収_月次!$S$8:$S$127,投資回収_月次!$C$8:$C$127,B10)</f>
        <v>0</v>
      </c>
      <c r="I10" s="39" t="n">
        <f aca="false">E10-F10-G10-H10</f>
        <v>1472776</v>
      </c>
      <c r="J10" s="39" t="n">
        <f aca="false">SUM(E$5:E10)</f>
        <v>10654872</v>
      </c>
      <c r="K10" s="39" t="n">
        <f aca="false">MAX(前提条件!$C$94-J10,0)</f>
        <v>0</v>
      </c>
      <c r="L10" s="39" t="n">
        <f aca="false">前提条件!$C$8-SUM(F$5:F10)+IF(前提条件!$C$86&lt;3,前提条件!$C$85-SUM(G$5:G10),0)</f>
        <v>2291666.66666667</v>
      </c>
      <c r="M10" s="39" t="n">
        <f aca="false">SUM(I$5:I10)</f>
        <v>7946538.66666667</v>
      </c>
    </row>
    <row r="11" customFormat="false" ht="15" hidden="false" customHeight="false" outlineLevel="0" collapsed="false">
      <c r="B11" s="95" t="n">
        <v>54</v>
      </c>
      <c r="C11" s="96" t="str">
        <f aca="false">"2032年7月〜2033年6月"</f>
        <v>2032年7月〜2033年6月</v>
      </c>
      <c r="D11" s="74" t="n">
        <f aca="false">COUNTIF(投資回収_月次!$C$8:$C$127,B11)</f>
        <v>12</v>
      </c>
      <c r="E11" s="29" t="n">
        <f aca="false">SUMIFS(投資回収_月次!$J$8:$J$127,投資回収_月次!$C$8:$C$127,B11)</f>
        <v>1967140</v>
      </c>
      <c r="F11" s="29" t="n">
        <f aca="false">SUMIFS(投資回収_月次!$M$8:$M$127,投資回収_月次!$C$8:$C$127,B11)</f>
        <v>450000</v>
      </c>
      <c r="G11" s="29" t="n">
        <f aca="false">SUMIFS(投資回収_月次!$R$8:$R$127,投資回収_月次!$C$8:$C$127,B11)</f>
        <v>50000</v>
      </c>
      <c r="H11" s="29" t="n">
        <f aca="false">SUMIFS(投資回収_月次!$S$8:$S$127,投資回収_月次!$C$8:$C$127,B11)</f>
        <v>0</v>
      </c>
      <c r="I11" s="39" t="n">
        <f aca="false">E11-F11-G11-H11</f>
        <v>1467140</v>
      </c>
      <c r="J11" s="39" t="n">
        <f aca="false">SUM(E$5:E11)</f>
        <v>12622012</v>
      </c>
      <c r="K11" s="39" t="n">
        <f aca="false">MAX(前提条件!$C$94-J11,0)</f>
        <v>0</v>
      </c>
      <c r="L11" s="39" t="n">
        <f aca="false">前提条件!$C$8-SUM(F$5:F11)+IF(前提条件!$C$86&lt;3,前提条件!$C$85-SUM(G$5:G11),0)</f>
        <v>1791666.66666667</v>
      </c>
      <c r="M11" s="39" t="n">
        <f aca="false">SUM(I$5:I11)</f>
        <v>9413678.66666667</v>
      </c>
    </row>
    <row r="12" customFormat="false" ht="15" hidden="false" customHeight="false" outlineLevel="0" collapsed="false">
      <c r="B12" s="95" t="n">
        <v>55</v>
      </c>
      <c r="C12" s="96" t="str">
        <f aca="false">"2033年7月〜2034年6月"</f>
        <v>2033年7月〜2034年6月</v>
      </c>
      <c r="D12" s="74" t="n">
        <f aca="false">COUNTIF(投資回収_月次!$C$8:$C$127,B12)</f>
        <v>12</v>
      </c>
      <c r="E12" s="29" t="n">
        <f aca="false">SUMIFS(投資回収_月次!$J$8:$J$127,投資回収_月次!$C$8:$C$127,B12)</f>
        <v>1967140</v>
      </c>
      <c r="F12" s="29" t="n">
        <f aca="false">SUMIFS(投資回収_月次!$M$8:$M$127,投資回収_月次!$C$8:$C$127,B12)</f>
        <v>450000</v>
      </c>
      <c r="G12" s="29" t="n">
        <f aca="false">SUMIFS(投資回収_月次!$R$8:$R$127,投資回収_月次!$C$8:$C$127,B12)</f>
        <v>50000</v>
      </c>
      <c r="H12" s="29" t="n">
        <f aca="false">SUMIFS(投資回収_月次!$S$8:$S$127,投資回収_月次!$C$8:$C$127,B12)</f>
        <v>0</v>
      </c>
      <c r="I12" s="39" t="n">
        <f aca="false">E12-F12-G12-H12</f>
        <v>1467140</v>
      </c>
      <c r="J12" s="39" t="n">
        <f aca="false">SUM(E$5:E12)</f>
        <v>14589152</v>
      </c>
      <c r="K12" s="39" t="n">
        <f aca="false">MAX(前提条件!$C$94-J12,0)</f>
        <v>0</v>
      </c>
      <c r="L12" s="39" t="n">
        <f aca="false">前提条件!$C$8-SUM(F$5:F12)+IF(前提条件!$C$86&lt;3,前提条件!$C$85-SUM(G$5:G12),0)</f>
        <v>1291666.66666667</v>
      </c>
      <c r="M12" s="39" t="n">
        <f aca="false">SUM(I$5:I12)</f>
        <v>10880818.6666667</v>
      </c>
    </row>
    <row r="13" customFormat="false" ht="15" hidden="false" customHeight="false" outlineLevel="0" collapsed="false">
      <c r="B13" s="95" t="n">
        <v>56</v>
      </c>
      <c r="C13" s="96" t="str">
        <f aca="false">"2034年7月〜2035年6月"</f>
        <v>2034年7月〜2035年6月</v>
      </c>
      <c r="D13" s="74" t="n">
        <f aca="false">COUNTIF(投資回収_月次!$C$8:$C$127,B13)</f>
        <v>12</v>
      </c>
      <c r="E13" s="29" t="n">
        <f aca="false">SUMIFS(投資回収_月次!$J$8:$J$127,投資回収_月次!$C$8:$C$127,B13)</f>
        <v>1967140</v>
      </c>
      <c r="F13" s="29" t="n">
        <f aca="false">SUMIFS(投資回収_月次!$M$8:$M$127,投資回収_月次!$C$8:$C$127,B13)</f>
        <v>450000</v>
      </c>
      <c r="G13" s="29" t="n">
        <f aca="false">SUMIFS(投資回収_月次!$R$8:$R$127,投資回収_月次!$C$8:$C$127,B13)</f>
        <v>50000</v>
      </c>
      <c r="H13" s="29" t="n">
        <f aca="false">SUMIFS(投資回収_月次!$S$8:$S$127,投資回収_月次!$C$8:$C$127,B13)</f>
        <v>0</v>
      </c>
      <c r="I13" s="39" t="n">
        <f aca="false">E13-F13-G13-H13</f>
        <v>1467140</v>
      </c>
      <c r="J13" s="39" t="n">
        <f aca="false">SUM(E$5:E13)</f>
        <v>16556292</v>
      </c>
      <c r="K13" s="39" t="n">
        <f aca="false">MAX(前提条件!$C$94-J13,0)</f>
        <v>0</v>
      </c>
      <c r="L13" s="39" t="n">
        <f aca="false">前提条件!$C$8-SUM(F$5:F13)+IF(前提条件!$C$86&lt;3,前提条件!$C$85-SUM(G$5:G13),0)</f>
        <v>791666.666666667</v>
      </c>
      <c r="M13" s="39" t="n">
        <f aca="false">SUM(I$5:I13)</f>
        <v>12347958.6666667</v>
      </c>
    </row>
    <row r="14" customFormat="false" ht="15" hidden="false" customHeight="false" outlineLevel="0" collapsed="false">
      <c r="B14" s="95" t="n">
        <v>57</v>
      </c>
      <c r="C14" s="96" t="str">
        <f aca="false">"2035年7月〜2036年6月"</f>
        <v>2035年7月〜2036年6月</v>
      </c>
      <c r="D14" s="74" t="n">
        <f aca="false">COUNTIF(投資回収_月次!$C$8:$C$127,B14)</f>
        <v>12</v>
      </c>
      <c r="E14" s="29" t="n">
        <f aca="false">SUMIFS(投資回収_月次!$J$8:$J$127,投資回収_月次!$C$8:$C$127,B14)</f>
        <v>1972776</v>
      </c>
      <c r="F14" s="29" t="n">
        <f aca="false">SUMIFS(投資回収_月次!$M$8:$M$127,投資回収_月次!$C$8:$C$127,B14)</f>
        <v>450000</v>
      </c>
      <c r="G14" s="29" t="n">
        <f aca="false">SUMIFS(投資回収_月次!$R$8:$R$127,投資回収_月次!$C$8:$C$127,B14)</f>
        <v>50000</v>
      </c>
      <c r="H14" s="29" t="n">
        <f aca="false">SUMIFS(投資回収_月次!$S$8:$S$127,投資回収_月次!$C$8:$C$127,B14)</f>
        <v>0</v>
      </c>
      <c r="I14" s="39" t="n">
        <f aca="false">E14-F14-G14-H14</f>
        <v>1472776</v>
      </c>
      <c r="J14" s="39" t="n">
        <f aca="false">SUM(E$5:E14)</f>
        <v>18529068</v>
      </c>
      <c r="K14" s="39" t="n">
        <f aca="false">MAX(前提条件!$C$94-J14,0)</f>
        <v>0</v>
      </c>
      <c r="L14" s="39" t="n">
        <f aca="false">前提条件!$C$8-SUM(F$5:F14)+IF(前提条件!$C$86&lt;3,前提条件!$C$85-SUM(G$5:G14),0)</f>
        <v>291666.666666667</v>
      </c>
      <c r="M14" s="39" t="n">
        <f aca="false">SUM(I$5:I14)</f>
        <v>13820734.6666667</v>
      </c>
    </row>
    <row r="15" customFormat="false" ht="15" hidden="false" customHeight="false" outlineLevel="0" collapsed="false">
      <c r="B15" s="95" t="n">
        <v>58</v>
      </c>
      <c r="C15" s="96" t="str">
        <f aca="false">"2036年7月〜2037年6月"</f>
        <v>2036年7月〜2037年6月</v>
      </c>
      <c r="D15" s="74" t="n">
        <f aca="false">COUNTIF(投資回収_月次!$C$8:$C$127,B15)</f>
        <v>7</v>
      </c>
      <c r="E15" s="29" t="n">
        <f aca="false">SUMIFS(投資回収_月次!$J$8:$J$127,投資回収_月次!$C$8:$C$127,B15)</f>
        <v>1159240</v>
      </c>
      <c r="F15" s="29" t="n">
        <f aca="false">SUMIFS(投資回収_月次!$M$8:$M$127,投資回収_月次!$C$8:$C$127,B15)</f>
        <v>262500</v>
      </c>
      <c r="G15" s="29" t="n">
        <f aca="false">SUMIFS(投資回収_月次!$R$8:$R$127,投資回収_月次!$C$8:$C$127,B15)</f>
        <v>29166.6666666667</v>
      </c>
      <c r="H15" s="29" t="n">
        <f aca="false">SUMIFS(投資回収_月次!$S$8:$S$127,投資回収_月次!$C$8:$C$127,B15)</f>
        <v>0</v>
      </c>
      <c r="I15" s="39" t="n">
        <f aca="false">E15-F15-G15-H15</f>
        <v>867573.333333333</v>
      </c>
      <c r="J15" s="39" t="n">
        <f aca="false">SUM(E$5:E15)</f>
        <v>19688308</v>
      </c>
      <c r="K15" s="39" t="n">
        <f aca="false">MAX(前提条件!$C$94-J15,0)</f>
        <v>0</v>
      </c>
      <c r="L15" s="39" t="n">
        <f aca="false">前提条件!$C$8-SUM(F$5:F15)+IF(前提条件!$C$86&lt;3,前提条件!$C$85-SUM(G$5:G15),0)</f>
        <v>0</v>
      </c>
      <c r="M15" s="39" t="n">
        <f aca="false">SUM(I$5:I15)</f>
        <v>14688308</v>
      </c>
    </row>
    <row r="16" customFormat="false" ht="15" hidden="false" customHeight="false" outlineLevel="0" collapsed="false">
      <c r="B16" s="76" t="s">
        <v>220</v>
      </c>
      <c r="C16" s="97"/>
      <c r="D16" s="98" t="n">
        <f aca="false">SUM(D5:D15)</f>
        <v>120</v>
      </c>
      <c r="E16" s="99" t="n">
        <f aca="false">SUM(E5:E15)</f>
        <v>19688308</v>
      </c>
      <c r="F16" s="99" t="n">
        <f aca="false">SUM(F5:F15)</f>
        <v>4500000</v>
      </c>
      <c r="G16" s="99" t="n">
        <f aca="false">SUM(G5:G15)</f>
        <v>500000</v>
      </c>
      <c r="H16" s="99" t="n">
        <f aca="false">SUM(H5:H15)</f>
        <v>0</v>
      </c>
      <c r="I16" s="99" t="n">
        <f aca="false">SUM(I5:I15)</f>
        <v>14688308</v>
      </c>
      <c r="J16" s="97"/>
      <c r="K16" s="97"/>
      <c r="L16" s="97"/>
      <c r="M16" s="97"/>
    </row>
    <row r="18" customFormat="false" ht="15" hidden="false" customHeight="false" outlineLevel="0" collapsed="false">
      <c r="B18" s="12" t="s">
        <v>309</v>
      </c>
    </row>
    <row r="19" customFormat="false" ht="15" hidden="false" customHeight="false" outlineLevel="0" collapsed="false">
      <c r="B19" s="33" t="s">
        <v>310</v>
      </c>
    </row>
    <row r="20" customFormat="false" ht="15" hidden="false" customHeight="false" outlineLevel="0" collapsed="false">
      <c r="B20" s="33" t="s">
        <v>311</v>
      </c>
    </row>
    <row r="21" customFormat="false" ht="15" hidden="false" customHeight="false" outlineLevel="0" collapsed="false">
      <c r="B21" s="33" t="s">
        <v>312</v>
      </c>
    </row>
  </sheetData>
  <conditionalFormatting sqref="B5:M15">
    <cfRule type="expression" priority="2" aboveAverage="0" equalAverage="0" bottom="0" percent="0" rank="0" text="" dxfId="1">
      <formula>AND($K5=0,$J5-$E5&lt;前提条件!$C$94)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6"/>
    <col collapsed="false" customWidth="true" hidden="false" outlineLevel="0" max="14" min="2" style="0" width="11"/>
  </cols>
  <sheetData>
    <row r="1" customFormat="false" ht="17.15" hidden="false" customHeight="false" outlineLevel="0" collapsed="false">
      <c r="A1" s="100" t="s">
        <v>313</v>
      </c>
    </row>
    <row r="2" customFormat="false" ht="15" hidden="false" customHeight="false" outlineLevel="0" collapsed="false">
      <c r="A2" s="14" t="s">
        <v>314</v>
      </c>
    </row>
    <row r="3" customFormat="false" ht="15" hidden="false" customHeight="false" outlineLevel="0" collapsed="false">
      <c r="A3" s="27" t="s">
        <v>315</v>
      </c>
      <c r="B3" s="26" t="s">
        <v>316</v>
      </c>
      <c r="C3" s="26" t="s">
        <v>317</v>
      </c>
      <c r="D3" s="26" t="s">
        <v>318</v>
      </c>
      <c r="E3" s="26" t="s">
        <v>319</v>
      </c>
      <c r="F3" s="26" t="s">
        <v>320</v>
      </c>
      <c r="G3" s="26" t="s">
        <v>321</v>
      </c>
      <c r="H3" s="26" t="s">
        <v>39</v>
      </c>
      <c r="I3" s="26" t="s">
        <v>40</v>
      </c>
      <c r="J3" s="26" t="s">
        <v>41</v>
      </c>
      <c r="K3" s="26" t="s">
        <v>42</v>
      </c>
      <c r="L3" s="26" t="s">
        <v>43</v>
      </c>
      <c r="M3" s="26" t="s">
        <v>44</v>
      </c>
      <c r="N3" s="26" t="s">
        <v>322</v>
      </c>
    </row>
    <row r="4" customFormat="false" ht="15" hidden="false" customHeight="false" outlineLevel="0" collapsed="false">
      <c r="A4" s="5" t="s">
        <v>323</v>
      </c>
      <c r="B4" s="101" t="n">
        <v>787800</v>
      </c>
      <c r="C4" s="101" t="n">
        <v>836803.384</v>
      </c>
      <c r="D4" s="101" t="n">
        <v>747600</v>
      </c>
      <c r="E4" s="101" t="n">
        <v>772524.471</v>
      </c>
      <c r="F4" s="101" t="n">
        <v>750295.52</v>
      </c>
      <c r="G4" s="101" t="n">
        <v>847205.75</v>
      </c>
      <c r="H4" s="101" t="n">
        <v>770219.863</v>
      </c>
      <c r="I4" s="101" t="n">
        <v>729600</v>
      </c>
      <c r="J4" s="101" t="n">
        <v>826500</v>
      </c>
      <c r="K4" s="101" t="n">
        <v>792000</v>
      </c>
      <c r="L4" s="101" t="n">
        <v>802000</v>
      </c>
      <c r="M4" s="101" t="n">
        <v>777000</v>
      </c>
      <c r="N4" s="101" t="n">
        <v>9439548.988</v>
      </c>
    </row>
    <row r="5" customFormat="false" ht="15" hidden="false" customHeight="false" outlineLevel="0" collapsed="false">
      <c r="A5" s="5" t="s">
        <v>324</v>
      </c>
      <c r="B5" s="101" t="n">
        <v>224170</v>
      </c>
      <c r="C5" s="101" t="n">
        <v>237991.384</v>
      </c>
      <c r="D5" s="101" t="n">
        <v>212690</v>
      </c>
      <c r="E5" s="101" t="n">
        <v>219664.471</v>
      </c>
      <c r="F5" s="101" t="n">
        <v>213231.52</v>
      </c>
      <c r="G5" s="101" t="n">
        <v>240495.75</v>
      </c>
      <c r="H5" s="101" t="n">
        <v>218795.863</v>
      </c>
      <c r="I5" s="101" t="n">
        <v>207111.4</v>
      </c>
      <c r="J5" s="101" t="n">
        <v>234509</v>
      </c>
      <c r="K5" s="101" t="n">
        <v>224780</v>
      </c>
      <c r="L5" s="101" t="n">
        <v>227600</v>
      </c>
      <c r="M5" s="101" t="n">
        <v>219247.2686</v>
      </c>
      <c r="N5" s="101" t="n">
        <v>2680286.6566</v>
      </c>
    </row>
    <row r="6" customFormat="false" ht="15" hidden="false" customHeight="false" outlineLevel="0" collapsed="false">
      <c r="A6" s="5" t="s">
        <v>325</v>
      </c>
      <c r="B6" s="102" t="n">
        <v>0.284551916730135</v>
      </c>
      <c r="C6" s="102" t="n">
        <v>0.284405379507882</v>
      </c>
      <c r="D6" s="102" t="n">
        <v>0.284497057249866</v>
      </c>
      <c r="E6" s="102" t="n">
        <v>0.284346294837306</v>
      </c>
      <c r="F6" s="102" t="n">
        <v>0.284196712250128</v>
      </c>
      <c r="G6" s="102" t="n">
        <v>0.283869355230415</v>
      </c>
      <c r="H6" s="102" t="n">
        <v>0.284069359296697</v>
      </c>
      <c r="I6" s="102" t="n">
        <v>0.283869791666667</v>
      </c>
      <c r="J6" s="102" t="n">
        <v>0.283737447065941</v>
      </c>
      <c r="K6" s="102" t="n">
        <v>0.283813131313131</v>
      </c>
      <c r="L6" s="102" t="n">
        <v>0.283790523690773</v>
      </c>
      <c r="M6" s="102" t="n">
        <v>0.282171516859717</v>
      </c>
      <c r="N6" s="102" t="n">
        <v>0.283942237071634</v>
      </c>
    </row>
    <row r="7" customFormat="false" ht="15" hidden="true" customHeight="false" outlineLevel="1" collapsed="false">
      <c r="A7" s="5" t="s">
        <v>326</v>
      </c>
      <c r="B7" s="101" t="n">
        <v>785000</v>
      </c>
      <c r="C7" s="101" t="n">
        <v>834000</v>
      </c>
      <c r="D7" s="101" t="n">
        <v>745000</v>
      </c>
      <c r="E7" s="101" t="n">
        <v>770000</v>
      </c>
      <c r="F7" s="101" t="n">
        <v>748000</v>
      </c>
      <c r="G7" s="101" t="n">
        <v>845000</v>
      </c>
      <c r="H7" s="101" t="n">
        <v>768000</v>
      </c>
      <c r="I7" s="101" t="n">
        <v>727700</v>
      </c>
      <c r="J7" s="101" t="n">
        <v>824500</v>
      </c>
      <c r="K7" s="101" t="n">
        <v>790000</v>
      </c>
      <c r="L7" s="101" t="n">
        <v>800000</v>
      </c>
      <c r="M7" s="101" t="n">
        <v>775000</v>
      </c>
      <c r="N7" s="101" t="n">
        <v>9412200</v>
      </c>
    </row>
    <row r="8" customFormat="false" ht="15" hidden="true" customHeight="false" outlineLevel="1" collapsed="false">
      <c r="A8" s="5" t="s">
        <v>327</v>
      </c>
      <c r="B8" s="101" t="n">
        <v>213520</v>
      </c>
      <c r="C8" s="101" t="n">
        <v>226848</v>
      </c>
      <c r="D8" s="101" t="n">
        <v>202640</v>
      </c>
      <c r="E8" s="101" t="n">
        <v>209440</v>
      </c>
      <c r="F8" s="101" t="n">
        <v>203456</v>
      </c>
      <c r="G8" s="101" t="n">
        <v>229840</v>
      </c>
      <c r="H8" s="101" t="n">
        <v>208896</v>
      </c>
      <c r="I8" s="101" t="n">
        <v>197934.4</v>
      </c>
      <c r="J8" s="101" t="n">
        <v>224264</v>
      </c>
      <c r="K8" s="101" t="n">
        <v>214880</v>
      </c>
      <c r="L8" s="101" t="n">
        <v>217600</v>
      </c>
      <c r="M8" s="101" t="n">
        <v>210800</v>
      </c>
      <c r="N8" s="101" t="n">
        <v>2560118.4</v>
      </c>
    </row>
    <row r="9" customFormat="false" ht="15" hidden="true" customHeight="false" outlineLevel="1" collapsed="false">
      <c r="A9" s="5" t="s">
        <v>328</v>
      </c>
      <c r="B9" s="102" t="n">
        <v>0.272</v>
      </c>
      <c r="C9" s="102" t="n">
        <v>0.272</v>
      </c>
      <c r="D9" s="102" t="n">
        <v>0.272</v>
      </c>
      <c r="E9" s="102" t="n">
        <v>0.272</v>
      </c>
      <c r="F9" s="102" t="n">
        <v>0.272</v>
      </c>
      <c r="G9" s="102" t="n">
        <v>0.272</v>
      </c>
      <c r="H9" s="102" t="n">
        <v>0.272</v>
      </c>
      <c r="I9" s="102" t="n">
        <v>0.272</v>
      </c>
      <c r="J9" s="102" t="n">
        <v>0.272</v>
      </c>
      <c r="K9" s="102" t="n">
        <v>0.272</v>
      </c>
      <c r="L9" s="102" t="n">
        <v>0.272</v>
      </c>
      <c r="M9" s="102" t="n">
        <v>0.272</v>
      </c>
      <c r="N9" s="102" t="n">
        <v>0.272</v>
      </c>
    </row>
    <row r="10" customFormat="false" ht="15" hidden="true" customHeight="false" outlineLevel="1" collapsed="false">
      <c r="A10" s="5" t="s">
        <v>329</v>
      </c>
      <c r="B10" s="101" t="n">
        <v>2800</v>
      </c>
      <c r="C10" s="101" t="n">
        <v>2803.384</v>
      </c>
      <c r="D10" s="101" t="n">
        <v>2600</v>
      </c>
      <c r="E10" s="101" t="n">
        <v>2524.471</v>
      </c>
      <c r="F10" s="101" t="n">
        <v>2295.52</v>
      </c>
      <c r="G10" s="101" t="n">
        <v>2205.75</v>
      </c>
      <c r="H10" s="101" t="n">
        <v>2219.863</v>
      </c>
      <c r="I10" s="101" t="n">
        <v>1900</v>
      </c>
      <c r="J10" s="101" t="n">
        <v>2000</v>
      </c>
      <c r="K10" s="101" t="n">
        <v>2000</v>
      </c>
      <c r="L10" s="101" t="n">
        <v>2000</v>
      </c>
      <c r="M10" s="101" t="n">
        <v>2000</v>
      </c>
      <c r="N10" s="101" t="n">
        <v>27348.988</v>
      </c>
    </row>
    <row r="11" customFormat="false" ht="15" hidden="true" customHeight="false" outlineLevel="1" collapsed="false">
      <c r="A11" s="5" t="s">
        <v>330</v>
      </c>
      <c r="B11" s="101" t="n">
        <v>2800</v>
      </c>
      <c r="C11" s="101" t="n">
        <v>2803.384</v>
      </c>
      <c r="D11" s="101" t="n">
        <v>2600</v>
      </c>
      <c r="E11" s="101" t="n">
        <v>2524.471</v>
      </c>
      <c r="F11" s="101" t="n">
        <v>2295.52</v>
      </c>
      <c r="G11" s="101" t="n">
        <v>2205.75</v>
      </c>
      <c r="H11" s="101" t="n">
        <v>2219.863</v>
      </c>
      <c r="I11" s="101" t="n">
        <v>1900</v>
      </c>
      <c r="J11" s="101" t="n">
        <v>2000</v>
      </c>
      <c r="K11" s="101" t="n">
        <v>2000</v>
      </c>
      <c r="L11" s="101" t="n">
        <v>2000</v>
      </c>
      <c r="M11" s="101" t="n">
        <v>2000</v>
      </c>
      <c r="N11" s="101" t="n">
        <v>27348.988</v>
      </c>
    </row>
    <row r="12" customFormat="false" ht="15" hidden="true" customHeight="false" outlineLevel="1" collapsed="false">
      <c r="A12" s="5" t="s">
        <v>328</v>
      </c>
      <c r="B12" s="102" t="n">
        <v>1</v>
      </c>
      <c r="C12" s="102" t="n">
        <v>1</v>
      </c>
      <c r="D12" s="102" t="n">
        <v>1</v>
      </c>
      <c r="E12" s="102" t="n">
        <v>1</v>
      </c>
      <c r="F12" s="102" t="n">
        <v>1</v>
      </c>
      <c r="G12" s="102" t="n">
        <v>1</v>
      </c>
      <c r="H12" s="102" t="n">
        <v>1</v>
      </c>
      <c r="I12" s="102" t="n">
        <v>1</v>
      </c>
      <c r="J12" s="102" t="n">
        <v>1</v>
      </c>
      <c r="K12" s="102" t="n">
        <v>1</v>
      </c>
      <c r="L12" s="102" t="n">
        <v>1</v>
      </c>
      <c r="M12" s="102" t="n">
        <v>1</v>
      </c>
      <c r="N12" s="102" t="n">
        <v>1</v>
      </c>
    </row>
    <row r="13" customFormat="false" ht="15" hidden="true" customHeight="false" outlineLevel="1" collapsed="false">
      <c r="A13" s="5" t="s">
        <v>331</v>
      </c>
      <c r="B13" s="101" t="n">
        <v>0</v>
      </c>
      <c r="C13" s="101" t="n">
        <v>0</v>
      </c>
      <c r="D13" s="101" t="n">
        <v>0</v>
      </c>
      <c r="E13" s="101" t="n">
        <v>0</v>
      </c>
      <c r="F13" s="101" t="n">
        <v>0</v>
      </c>
      <c r="G13" s="101" t="n">
        <v>0</v>
      </c>
      <c r="H13" s="101" t="n">
        <v>0</v>
      </c>
      <c r="I13" s="101" t="n">
        <v>0</v>
      </c>
      <c r="J13" s="101" t="n">
        <v>0</v>
      </c>
      <c r="K13" s="101" t="n">
        <v>0</v>
      </c>
      <c r="L13" s="101" t="n">
        <v>0</v>
      </c>
      <c r="M13" s="101" t="n">
        <v>0</v>
      </c>
      <c r="N13" s="101" t="n">
        <v>0</v>
      </c>
    </row>
    <row r="14" customFormat="false" ht="15" hidden="true" customHeight="false" outlineLevel="1" collapsed="false">
      <c r="A14" s="5" t="s">
        <v>332</v>
      </c>
      <c r="B14" s="101" t="n">
        <v>0</v>
      </c>
      <c r="C14" s="101" t="n">
        <v>0</v>
      </c>
      <c r="D14" s="101" t="n">
        <v>0</v>
      </c>
      <c r="E14" s="101" t="n">
        <v>0</v>
      </c>
      <c r="F14" s="101" t="n">
        <v>0</v>
      </c>
      <c r="G14" s="101" t="n">
        <v>0</v>
      </c>
      <c r="H14" s="101" t="n">
        <v>0</v>
      </c>
      <c r="I14" s="101" t="n">
        <v>0</v>
      </c>
      <c r="J14" s="101" t="n">
        <v>0</v>
      </c>
      <c r="K14" s="101" t="n">
        <v>0</v>
      </c>
      <c r="L14" s="101" t="n">
        <v>0</v>
      </c>
      <c r="M14" s="101" t="n">
        <v>0</v>
      </c>
      <c r="N14" s="101" t="n">
        <v>0</v>
      </c>
    </row>
    <row r="15" customFormat="false" ht="15" hidden="true" customHeight="false" outlineLevel="1" collapsed="false">
      <c r="A15" s="5" t="s">
        <v>328</v>
      </c>
      <c r="B15" s="102" t="n">
        <v>0</v>
      </c>
      <c r="C15" s="102" t="n">
        <v>0</v>
      </c>
      <c r="D15" s="102" t="n">
        <v>0</v>
      </c>
      <c r="E15" s="102" t="n">
        <v>0</v>
      </c>
      <c r="F15" s="102" t="n">
        <v>0</v>
      </c>
      <c r="G15" s="102" t="n">
        <v>0</v>
      </c>
      <c r="H15" s="102" t="n">
        <v>0</v>
      </c>
      <c r="I15" s="102" t="n">
        <v>0</v>
      </c>
      <c r="J15" s="102" t="n">
        <v>0</v>
      </c>
      <c r="K15" s="102" t="n">
        <v>0</v>
      </c>
      <c r="L15" s="102" t="n">
        <v>0</v>
      </c>
      <c r="M15" s="102" t="n">
        <v>0</v>
      </c>
      <c r="N15" s="102" t="n">
        <v>0</v>
      </c>
    </row>
    <row r="16" customFormat="false" ht="15" hidden="true" customHeight="false" outlineLevel="1" collapsed="false">
      <c r="A16" s="5" t="s">
        <v>333</v>
      </c>
      <c r="B16" s="101" t="n">
        <v>0</v>
      </c>
      <c r="C16" s="101" t="n">
        <v>0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 t="n">
        <v>0</v>
      </c>
      <c r="K16" s="101" t="n">
        <v>0</v>
      </c>
      <c r="L16" s="101" t="n">
        <v>0</v>
      </c>
      <c r="M16" s="101" t="n">
        <v>0</v>
      </c>
      <c r="N16" s="101" t="n">
        <v>0</v>
      </c>
    </row>
    <row r="17" customFormat="false" ht="15" hidden="true" customHeight="false" outlineLevel="1" collapsed="false">
      <c r="A17" s="5" t="s">
        <v>334</v>
      </c>
      <c r="B17" s="101" t="n">
        <v>7850</v>
      </c>
      <c r="C17" s="101" t="n">
        <v>8340</v>
      </c>
      <c r="D17" s="101" t="n">
        <v>7450</v>
      </c>
      <c r="E17" s="101" t="n">
        <v>7700</v>
      </c>
      <c r="F17" s="101" t="n">
        <v>7480</v>
      </c>
      <c r="G17" s="101" t="n">
        <v>8450</v>
      </c>
      <c r="H17" s="101" t="n">
        <v>7680</v>
      </c>
      <c r="I17" s="101" t="n">
        <v>7277</v>
      </c>
      <c r="J17" s="101" t="n">
        <v>8245</v>
      </c>
      <c r="K17" s="101" t="n">
        <v>7900</v>
      </c>
      <c r="L17" s="101" t="n">
        <v>8000</v>
      </c>
      <c r="M17" s="101" t="n">
        <v>6447.2686</v>
      </c>
      <c r="N17" s="101" t="n">
        <v>92819.2686</v>
      </c>
    </row>
    <row r="18" customFormat="false" ht="15" hidden="true" customHeight="false" outlineLevel="1" collapsed="false">
      <c r="A18" s="5" t="s">
        <v>328</v>
      </c>
      <c r="B18" s="102" t="n">
        <v>0</v>
      </c>
      <c r="C18" s="102" t="n">
        <v>0</v>
      </c>
      <c r="D18" s="102" t="n">
        <v>0</v>
      </c>
      <c r="E18" s="102" t="n">
        <v>0</v>
      </c>
      <c r="F18" s="102" t="n">
        <v>0</v>
      </c>
      <c r="G18" s="102" t="n">
        <v>0</v>
      </c>
      <c r="H18" s="102" t="n">
        <v>0</v>
      </c>
      <c r="I18" s="102" t="n">
        <v>0</v>
      </c>
      <c r="J18" s="102" t="n">
        <v>0</v>
      </c>
      <c r="K18" s="102" t="n">
        <v>0</v>
      </c>
      <c r="L18" s="102" t="n">
        <v>0</v>
      </c>
      <c r="M18" s="102" t="n">
        <v>0</v>
      </c>
      <c r="N18" s="102" t="n">
        <v>0</v>
      </c>
    </row>
    <row r="19" customFormat="false" ht="15" hidden="false" customHeight="false" outlineLevel="0" collapsed="false">
      <c r="A19" s="5" t="s">
        <v>335</v>
      </c>
      <c r="B19" s="101" t="n">
        <v>137474</v>
      </c>
      <c r="C19" s="101" t="n">
        <v>138653</v>
      </c>
      <c r="D19" s="101" t="n">
        <v>141802</v>
      </c>
      <c r="E19" s="101" t="n">
        <v>140499</v>
      </c>
      <c r="F19" s="101" t="n">
        <v>133546</v>
      </c>
      <c r="G19" s="101" t="n">
        <v>144822</v>
      </c>
      <c r="H19" s="101" t="n">
        <v>144712</v>
      </c>
      <c r="I19" s="101" t="n">
        <v>135001</v>
      </c>
      <c r="J19" s="101" t="n">
        <v>143688</v>
      </c>
      <c r="K19" s="101" t="n">
        <v>139346</v>
      </c>
      <c r="L19" s="101" t="n">
        <v>144350</v>
      </c>
      <c r="M19" s="101" t="n">
        <v>142608</v>
      </c>
      <c r="N19" s="101" t="n">
        <v>1686501</v>
      </c>
    </row>
    <row r="20" customFormat="false" ht="15" hidden="false" customHeight="false" outlineLevel="1" collapsed="false">
      <c r="A20" s="5" t="s">
        <v>336</v>
      </c>
      <c r="B20" s="101" t="n">
        <v>89240</v>
      </c>
      <c r="C20" s="101" t="n">
        <v>91540</v>
      </c>
      <c r="D20" s="101" t="n">
        <v>97500</v>
      </c>
      <c r="E20" s="101" t="n">
        <v>96250</v>
      </c>
      <c r="F20" s="101" t="n">
        <v>86900</v>
      </c>
      <c r="G20" s="101" t="n">
        <v>94800</v>
      </c>
      <c r="H20" s="101" t="n">
        <v>99450</v>
      </c>
      <c r="I20" s="101" t="n">
        <v>90475</v>
      </c>
      <c r="J20" s="101" t="n">
        <v>96250</v>
      </c>
      <c r="K20" s="101" t="n">
        <v>95000</v>
      </c>
      <c r="L20" s="101" t="n">
        <v>95000</v>
      </c>
      <c r="M20" s="101" t="n">
        <v>97500</v>
      </c>
      <c r="N20" s="101" t="n">
        <v>1129905</v>
      </c>
    </row>
    <row r="21" customFormat="false" ht="15" hidden="false" customHeight="false" outlineLevel="1" collapsed="false">
      <c r="A21" s="5" t="s">
        <v>337</v>
      </c>
      <c r="B21" s="101" t="n">
        <v>0</v>
      </c>
      <c r="C21" s="101" t="n">
        <v>0</v>
      </c>
      <c r="D21" s="101" t="n">
        <v>0</v>
      </c>
      <c r="E21" s="101" t="n">
        <v>0</v>
      </c>
      <c r="F21" s="101" t="n">
        <v>0</v>
      </c>
      <c r="G21" s="101" t="n">
        <v>0</v>
      </c>
      <c r="H21" s="101" t="n">
        <v>0</v>
      </c>
      <c r="I21" s="101" t="n">
        <v>0</v>
      </c>
      <c r="J21" s="101" t="n">
        <v>0</v>
      </c>
      <c r="K21" s="101" t="n">
        <v>0</v>
      </c>
      <c r="L21" s="101" t="n">
        <v>0</v>
      </c>
      <c r="M21" s="101" t="n">
        <v>0</v>
      </c>
      <c r="N21" s="101" t="n">
        <v>0</v>
      </c>
    </row>
    <row r="22" customFormat="false" ht="15" hidden="false" customHeight="false" outlineLevel="1" collapsed="false">
      <c r="A22" s="5" t="s">
        <v>338</v>
      </c>
      <c r="B22" s="101" t="n">
        <v>18960</v>
      </c>
      <c r="C22" s="101" t="n">
        <v>19440</v>
      </c>
      <c r="D22" s="101" t="n">
        <v>18000</v>
      </c>
      <c r="E22" s="101" t="n">
        <v>18120</v>
      </c>
      <c r="F22" s="101" t="n">
        <v>18724</v>
      </c>
      <c r="G22" s="101" t="n">
        <v>20336</v>
      </c>
      <c r="H22" s="101" t="n">
        <v>18600</v>
      </c>
      <c r="I22" s="101" t="n">
        <v>18450</v>
      </c>
      <c r="J22" s="101" t="n">
        <v>19840</v>
      </c>
      <c r="K22" s="101" t="n">
        <v>18600</v>
      </c>
      <c r="L22" s="101" t="n">
        <v>19592</v>
      </c>
      <c r="M22" s="101" t="n">
        <v>18724</v>
      </c>
      <c r="N22" s="101" t="n">
        <v>227386</v>
      </c>
    </row>
    <row r="23" customFormat="false" ht="15" hidden="false" customHeight="false" outlineLevel="1" collapsed="false">
      <c r="A23" s="5" t="s">
        <v>339</v>
      </c>
      <c r="B23" s="101" t="n">
        <v>1000</v>
      </c>
      <c r="C23" s="101" t="n">
        <v>2000</v>
      </c>
      <c r="D23" s="101" t="n">
        <v>100</v>
      </c>
      <c r="E23" s="101" t="n">
        <v>100</v>
      </c>
      <c r="F23" s="101" t="n">
        <v>100</v>
      </c>
      <c r="G23" s="101" t="n">
        <v>3500</v>
      </c>
      <c r="H23" s="101" t="n">
        <v>100</v>
      </c>
      <c r="I23" s="101" t="n">
        <v>1000</v>
      </c>
      <c r="J23" s="101" t="n">
        <v>1500</v>
      </c>
      <c r="K23" s="101" t="n">
        <v>100</v>
      </c>
      <c r="L23" s="101" t="n">
        <v>1000</v>
      </c>
      <c r="M23" s="101" t="n">
        <v>100</v>
      </c>
      <c r="N23" s="101" t="n">
        <v>10600</v>
      </c>
    </row>
    <row r="24" customFormat="false" ht="15" hidden="false" customHeight="false" outlineLevel="1" collapsed="false">
      <c r="A24" s="5" t="s">
        <v>340</v>
      </c>
      <c r="B24" s="101" t="n">
        <v>5160</v>
      </c>
      <c r="C24" s="101" t="n">
        <v>5160</v>
      </c>
      <c r="D24" s="101" t="n">
        <v>5160</v>
      </c>
      <c r="E24" s="101" t="n">
        <v>5160</v>
      </c>
      <c r="F24" s="101" t="n">
        <v>5160</v>
      </c>
      <c r="G24" s="101" t="n">
        <v>5160</v>
      </c>
      <c r="H24" s="101" t="n">
        <v>5160</v>
      </c>
      <c r="I24" s="101" t="n">
        <v>5160</v>
      </c>
      <c r="J24" s="101" t="n">
        <v>5160</v>
      </c>
      <c r="K24" s="101" t="n">
        <v>5160</v>
      </c>
      <c r="L24" s="101" t="n">
        <v>5160</v>
      </c>
      <c r="M24" s="101" t="n">
        <v>5160</v>
      </c>
      <c r="N24" s="101" t="n">
        <v>61920</v>
      </c>
    </row>
    <row r="25" customFormat="false" ht="15" hidden="false" customHeight="false" outlineLevel="1" collapsed="false">
      <c r="A25" s="5" t="s">
        <v>341</v>
      </c>
      <c r="B25" s="101" t="n">
        <v>16269</v>
      </c>
      <c r="C25" s="101" t="n">
        <v>16668</v>
      </c>
      <c r="D25" s="101" t="n">
        <v>17397</v>
      </c>
      <c r="E25" s="101" t="n">
        <v>17224</v>
      </c>
      <c r="F25" s="101" t="n">
        <v>15892</v>
      </c>
      <c r="G25" s="101" t="n">
        <v>17256</v>
      </c>
      <c r="H25" s="101" t="n">
        <v>17757</v>
      </c>
      <c r="I25" s="101" t="n">
        <v>16396</v>
      </c>
      <c r="J25" s="101" t="n">
        <v>17418</v>
      </c>
      <c r="K25" s="101" t="n">
        <v>17091</v>
      </c>
      <c r="L25" s="101" t="n">
        <v>17203</v>
      </c>
      <c r="M25" s="101" t="n">
        <v>17479</v>
      </c>
      <c r="N25" s="101" t="n">
        <v>204050</v>
      </c>
    </row>
    <row r="26" customFormat="false" ht="15" hidden="false" customHeight="false" outlineLevel="1" collapsed="false">
      <c r="A26" s="5" t="s">
        <v>342</v>
      </c>
      <c r="B26" s="101" t="n">
        <v>6835</v>
      </c>
      <c r="C26" s="101" t="n">
        <v>3835</v>
      </c>
      <c r="D26" s="101" t="n">
        <v>3635</v>
      </c>
      <c r="E26" s="101" t="n">
        <v>3635</v>
      </c>
      <c r="F26" s="101" t="n">
        <v>6760</v>
      </c>
      <c r="G26" s="101" t="n">
        <v>3760</v>
      </c>
      <c r="H26" s="101" t="n">
        <v>3635</v>
      </c>
      <c r="I26" s="101" t="n">
        <v>3510</v>
      </c>
      <c r="J26" s="101" t="n">
        <v>3510</v>
      </c>
      <c r="K26" s="101" t="n">
        <v>3385</v>
      </c>
      <c r="L26" s="101" t="n">
        <v>6385</v>
      </c>
      <c r="M26" s="101" t="n">
        <v>3635</v>
      </c>
      <c r="N26" s="101" t="n">
        <v>52520</v>
      </c>
    </row>
    <row r="27" customFormat="false" ht="15" hidden="false" customHeight="false" outlineLevel="1" collapsed="false">
      <c r="A27" s="5" t="s">
        <v>343</v>
      </c>
      <c r="B27" s="101" t="n">
        <v>0</v>
      </c>
      <c r="C27" s="101" t="n">
        <v>0</v>
      </c>
      <c r="D27" s="101" t="n">
        <v>0</v>
      </c>
      <c r="E27" s="101" t="n">
        <v>0</v>
      </c>
      <c r="F27" s="101" t="n">
        <v>0</v>
      </c>
      <c r="G27" s="101" t="n">
        <v>0</v>
      </c>
      <c r="H27" s="101" t="n">
        <v>0</v>
      </c>
      <c r="I27" s="101" t="n">
        <v>0</v>
      </c>
      <c r="J27" s="101" t="n">
        <v>0</v>
      </c>
      <c r="K27" s="101" t="n">
        <v>0</v>
      </c>
      <c r="L27" s="101" t="n">
        <v>0</v>
      </c>
      <c r="M27" s="101" t="n">
        <v>0</v>
      </c>
      <c r="N27" s="101" t="n">
        <v>0</v>
      </c>
    </row>
    <row r="28" customFormat="false" ht="15" hidden="false" customHeight="false" outlineLevel="1" collapsed="false">
      <c r="A28" s="5" t="s">
        <v>344</v>
      </c>
      <c r="B28" s="101" t="n">
        <v>10</v>
      </c>
      <c r="C28" s="101" t="n">
        <v>10</v>
      </c>
      <c r="D28" s="101" t="n">
        <v>10</v>
      </c>
      <c r="E28" s="101" t="n">
        <v>10</v>
      </c>
      <c r="F28" s="101" t="n">
        <v>10</v>
      </c>
      <c r="G28" s="101" t="n">
        <v>10</v>
      </c>
      <c r="H28" s="101" t="n">
        <v>10</v>
      </c>
      <c r="I28" s="101" t="n">
        <v>10</v>
      </c>
      <c r="J28" s="101" t="n">
        <v>10</v>
      </c>
      <c r="K28" s="101" t="n">
        <v>10</v>
      </c>
      <c r="L28" s="101" t="n">
        <v>10</v>
      </c>
      <c r="M28" s="101" t="n">
        <v>10</v>
      </c>
      <c r="N28" s="101" t="n">
        <v>120</v>
      </c>
    </row>
    <row r="29" customFormat="false" ht="15" hidden="false" customHeight="false" outlineLevel="0" collapsed="false">
      <c r="A29" s="5" t="s">
        <v>345</v>
      </c>
      <c r="B29" s="101" t="n">
        <v>0</v>
      </c>
      <c r="C29" s="101" t="n">
        <v>0</v>
      </c>
      <c r="D29" s="101" t="n">
        <v>0</v>
      </c>
      <c r="E29" s="101" t="n">
        <v>0</v>
      </c>
      <c r="F29" s="101" t="n">
        <v>0</v>
      </c>
      <c r="G29" s="101" t="n">
        <v>0</v>
      </c>
      <c r="H29" s="101" t="n">
        <v>0</v>
      </c>
      <c r="I29" s="101" t="n">
        <v>0</v>
      </c>
      <c r="J29" s="101" t="n">
        <v>0</v>
      </c>
      <c r="K29" s="101" t="n">
        <v>0</v>
      </c>
      <c r="L29" s="101" t="n">
        <v>0</v>
      </c>
      <c r="M29" s="101" t="n">
        <v>0</v>
      </c>
      <c r="N29" s="101" t="n">
        <v>0</v>
      </c>
    </row>
    <row r="30" customFormat="false" ht="15" hidden="false" customHeight="false" outlineLevel="1" collapsed="false">
      <c r="A30" s="5" t="s">
        <v>346</v>
      </c>
      <c r="B30" s="101" t="n">
        <v>0</v>
      </c>
      <c r="C30" s="101" t="n">
        <v>0</v>
      </c>
      <c r="D30" s="101" t="n">
        <v>0</v>
      </c>
      <c r="E30" s="101" t="n">
        <v>0</v>
      </c>
      <c r="F30" s="101" t="n">
        <v>0</v>
      </c>
      <c r="G30" s="101" t="n">
        <v>0</v>
      </c>
      <c r="H30" s="101" t="n">
        <v>0</v>
      </c>
      <c r="I30" s="101" t="n">
        <v>0</v>
      </c>
      <c r="J30" s="101" t="n">
        <v>0</v>
      </c>
      <c r="K30" s="101" t="n">
        <v>0</v>
      </c>
      <c r="L30" s="101" t="n">
        <v>0</v>
      </c>
      <c r="M30" s="101" t="n">
        <v>0</v>
      </c>
      <c r="N30" s="101" t="n">
        <v>0</v>
      </c>
    </row>
    <row r="31" customFormat="false" ht="15" hidden="false" customHeight="false" outlineLevel="1" collapsed="false">
      <c r="A31" s="5" t="s">
        <v>347</v>
      </c>
      <c r="B31" s="101" t="n">
        <v>0</v>
      </c>
      <c r="C31" s="101" t="n">
        <v>0</v>
      </c>
      <c r="D31" s="101" t="n">
        <v>0</v>
      </c>
      <c r="E31" s="101" t="n">
        <v>0</v>
      </c>
      <c r="F31" s="101" t="n">
        <v>0</v>
      </c>
      <c r="G31" s="101" t="n">
        <v>0</v>
      </c>
      <c r="H31" s="101" t="n">
        <v>0</v>
      </c>
      <c r="I31" s="101" t="n">
        <v>0</v>
      </c>
      <c r="J31" s="101" t="n">
        <v>0</v>
      </c>
      <c r="K31" s="101" t="n">
        <v>0</v>
      </c>
      <c r="L31" s="101" t="n">
        <v>0</v>
      </c>
      <c r="M31" s="101" t="n">
        <v>0</v>
      </c>
      <c r="N31" s="101" t="n">
        <v>0</v>
      </c>
    </row>
    <row r="32" customFormat="false" ht="15" hidden="false" customHeight="false" outlineLevel="0" collapsed="false">
      <c r="A32" s="5" t="s">
        <v>348</v>
      </c>
      <c r="B32" s="101" t="n">
        <v>2069.6</v>
      </c>
      <c r="C32" s="101" t="n">
        <v>2069.6</v>
      </c>
      <c r="D32" s="101" t="n">
        <v>2069.6</v>
      </c>
      <c r="E32" s="101" t="n">
        <v>2069.6</v>
      </c>
      <c r="F32" s="101" t="n">
        <v>2069.6</v>
      </c>
      <c r="G32" s="101" t="n">
        <v>2069.6</v>
      </c>
      <c r="H32" s="101" t="n">
        <v>2069.6</v>
      </c>
      <c r="I32" s="101" t="n">
        <v>2069.6</v>
      </c>
      <c r="J32" s="101" t="n">
        <v>2069.6</v>
      </c>
      <c r="K32" s="101" t="n">
        <v>2069.6</v>
      </c>
      <c r="L32" s="101" t="n">
        <v>2069.6</v>
      </c>
      <c r="M32" s="101" t="n">
        <v>2069.6</v>
      </c>
      <c r="N32" s="101" t="n">
        <v>24835.2</v>
      </c>
    </row>
    <row r="33" customFormat="false" ht="15" hidden="false" customHeight="false" outlineLevel="1" collapsed="false">
      <c r="A33" s="5" t="s">
        <v>349</v>
      </c>
      <c r="B33" s="101" t="n">
        <v>0</v>
      </c>
      <c r="C33" s="101" t="n">
        <v>0</v>
      </c>
      <c r="D33" s="101" t="n">
        <v>0</v>
      </c>
      <c r="E33" s="101" t="n">
        <v>0</v>
      </c>
      <c r="F33" s="101" t="n">
        <v>0</v>
      </c>
      <c r="G33" s="101" t="n">
        <v>0</v>
      </c>
      <c r="H33" s="101" t="n">
        <v>0</v>
      </c>
      <c r="I33" s="101" t="n">
        <v>0</v>
      </c>
      <c r="J33" s="101" t="n">
        <v>0</v>
      </c>
      <c r="K33" s="101" t="n">
        <v>0</v>
      </c>
      <c r="L33" s="101" t="n">
        <v>0</v>
      </c>
      <c r="M33" s="101" t="n">
        <v>0</v>
      </c>
      <c r="N33" s="101" t="n">
        <v>0</v>
      </c>
    </row>
    <row r="34" customFormat="false" ht="15" hidden="false" customHeight="false" outlineLevel="1" collapsed="false">
      <c r="A34" s="5" t="s">
        <v>350</v>
      </c>
      <c r="B34" s="101" t="n">
        <v>632</v>
      </c>
      <c r="C34" s="101" t="n">
        <v>632</v>
      </c>
      <c r="D34" s="101" t="n">
        <v>632</v>
      </c>
      <c r="E34" s="101" t="n">
        <v>632</v>
      </c>
      <c r="F34" s="101" t="n">
        <v>632</v>
      </c>
      <c r="G34" s="101" t="n">
        <v>632</v>
      </c>
      <c r="H34" s="101" t="n">
        <v>632</v>
      </c>
      <c r="I34" s="101" t="n">
        <v>632</v>
      </c>
      <c r="J34" s="101" t="n">
        <v>632</v>
      </c>
      <c r="K34" s="101" t="n">
        <v>632</v>
      </c>
      <c r="L34" s="101" t="n">
        <v>632</v>
      </c>
      <c r="M34" s="101" t="n">
        <v>632</v>
      </c>
      <c r="N34" s="101" t="n">
        <v>7584</v>
      </c>
    </row>
    <row r="35" customFormat="false" ht="15" hidden="false" customHeight="false" outlineLevel="1" collapsed="false">
      <c r="A35" s="5" t="s">
        <v>351</v>
      </c>
      <c r="B35" s="101" t="n">
        <v>1437.6</v>
      </c>
      <c r="C35" s="101" t="n">
        <v>1437.6</v>
      </c>
      <c r="D35" s="101" t="n">
        <v>1437.6</v>
      </c>
      <c r="E35" s="101" t="n">
        <v>1437.6</v>
      </c>
      <c r="F35" s="101" t="n">
        <v>1437.6</v>
      </c>
      <c r="G35" s="101" t="n">
        <v>1437.6</v>
      </c>
      <c r="H35" s="101" t="n">
        <v>1437.6</v>
      </c>
      <c r="I35" s="101" t="n">
        <v>1437.6</v>
      </c>
      <c r="J35" s="101" t="n">
        <v>1437.6</v>
      </c>
      <c r="K35" s="101" t="n">
        <v>1437.6</v>
      </c>
      <c r="L35" s="101" t="n">
        <v>1437.6</v>
      </c>
      <c r="M35" s="101" t="n">
        <v>1437.6</v>
      </c>
      <c r="N35" s="101" t="n">
        <v>17251.2</v>
      </c>
    </row>
    <row r="36" customFormat="false" ht="15" hidden="false" customHeight="false" outlineLevel="0" collapsed="false">
      <c r="A36" s="5" t="s">
        <v>352</v>
      </c>
      <c r="B36" s="101" t="n">
        <v>79634.1467</v>
      </c>
      <c r="C36" s="101" t="n">
        <v>85862.7764</v>
      </c>
      <c r="D36" s="101" t="n">
        <v>71626.215</v>
      </c>
      <c r="E36" s="101" t="n">
        <v>75996.9078</v>
      </c>
      <c r="F36" s="101" t="n">
        <v>73366.4724</v>
      </c>
      <c r="G36" s="101" t="n">
        <v>85549.8789</v>
      </c>
      <c r="H36" s="101" t="n">
        <v>74334.1591</v>
      </c>
      <c r="I36" s="101" t="n">
        <v>72606.2817</v>
      </c>
      <c r="J36" s="101" t="n">
        <v>85296.8617</v>
      </c>
      <c r="K36" s="101" t="n">
        <v>79623.9617</v>
      </c>
      <c r="L36" s="101" t="n">
        <v>78769.9617</v>
      </c>
      <c r="M36" s="101" t="n">
        <v>78291.9617</v>
      </c>
      <c r="N36" s="101" t="n">
        <v>940959.5848</v>
      </c>
    </row>
    <row r="37" customFormat="false" ht="15" hidden="false" customHeight="false" outlineLevel="1" collapsed="false">
      <c r="A37" s="5" t="s">
        <v>353</v>
      </c>
      <c r="B37" s="101" t="n">
        <v>7500</v>
      </c>
      <c r="C37" s="101" t="n">
        <v>8000</v>
      </c>
      <c r="D37" s="101" t="n">
        <v>1500</v>
      </c>
      <c r="E37" s="101" t="n">
        <v>3650</v>
      </c>
      <c r="F37" s="101" t="n">
        <v>1000</v>
      </c>
      <c r="G37" s="101" t="n">
        <v>7500</v>
      </c>
      <c r="H37" s="101" t="n">
        <v>1500</v>
      </c>
      <c r="I37" s="101" t="n">
        <v>2000</v>
      </c>
      <c r="J37" s="101" t="n">
        <v>9000</v>
      </c>
      <c r="K37" s="101" t="n">
        <v>5750</v>
      </c>
      <c r="L37" s="101" t="n">
        <v>4250</v>
      </c>
      <c r="M37" s="101" t="n">
        <v>4250</v>
      </c>
      <c r="N37" s="101" t="n">
        <v>55900</v>
      </c>
    </row>
    <row r="38" customFormat="false" ht="15" hidden="false" customHeight="false" outlineLevel="1" collapsed="false">
      <c r="A38" s="5" t="s">
        <v>354</v>
      </c>
      <c r="B38" s="101" t="n">
        <v>0</v>
      </c>
      <c r="C38" s="101" t="n">
        <v>0</v>
      </c>
      <c r="D38" s="101" t="n">
        <v>0</v>
      </c>
      <c r="E38" s="101" t="n">
        <v>0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 t="n">
        <v>0</v>
      </c>
      <c r="K38" s="101" t="n">
        <v>0</v>
      </c>
      <c r="L38" s="101" t="n">
        <v>0</v>
      </c>
      <c r="M38" s="101" t="n">
        <v>0</v>
      </c>
      <c r="N38" s="101" t="n">
        <v>0</v>
      </c>
    </row>
    <row r="39" customFormat="false" ht="15" hidden="false" customHeight="false" outlineLevel="1" collapsed="false">
      <c r="A39" s="5" t="s">
        <v>355</v>
      </c>
      <c r="B39" s="101" t="n">
        <v>2000</v>
      </c>
      <c r="C39" s="101" t="n">
        <v>4800</v>
      </c>
      <c r="D39" s="101" t="n">
        <v>600</v>
      </c>
      <c r="E39" s="101" t="n">
        <v>1230</v>
      </c>
      <c r="F39" s="101" t="n">
        <v>600</v>
      </c>
      <c r="G39" s="101" t="n">
        <v>1230</v>
      </c>
      <c r="H39" s="101" t="n">
        <v>370</v>
      </c>
      <c r="I39" s="101" t="n">
        <v>500</v>
      </c>
      <c r="J39" s="101" t="n">
        <v>960</v>
      </c>
      <c r="K39" s="101" t="n">
        <v>760</v>
      </c>
      <c r="L39" s="101" t="n">
        <v>760</v>
      </c>
      <c r="M39" s="101" t="n">
        <v>760</v>
      </c>
      <c r="N39" s="101" t="n">
        <v>14570</v>
      </c>
    </row>
    <row r="40" customFormat="false" ht="15" hidden="false" customHeight="false" outlineLevel="1" collapsed="false">
      <c r="A40" s="5" t="s">
        <v>356</v>
      </c>
      <c r="B40" s="101" t="n">
        <v>0</v>
      </c>
      <c r="C40" s="101" t="n">
        <v>0</v>
      </c>
      <c r="D40" s="101" t="n">
        <v>0</v>
      </c>
      <c r="E40" s="101" t="n">
        <v>0</v>
      </c>
      <c r="F40" s="101" t="n">
        <v>0</v>
      </c>
      <c r="G40" s="101" t="n">
        <v>0</v>
      </c>
      <c r="H40" s="101" t="n">
        <v>0</v>
      </c>
      <c r="I40" s="101" t="n">
        <v>0</v>
      </c>
      <c r="J40" s="101" t="n">
        <v>0</v>
      </c>
      <c r="K40" s="101" t="n">
        <v>0</v>
      </c>
      <c r="L40" s="101" t="n">
        <v>0</v>
      </c>
      <c r="M40" s="101" t="n">
        <v>0</v>
      </c>
      <c r="N40" s="101" t="n">
        <v>0</v>
      </c>
    </row>
    <row r="41" customFormat="false" ht="15" hidden="false" customHeight="false" outlineLevel="1" collapsed="false">
      <c r="A41" s="5" t="s">
        <v>357</v>
      </c>
      <c r="B41" s="101" t="n">
        <v>0</v>
      </c>
      <c r="C41" s="101" t="n">
        <v>0</v>
      </c>
      <c r="D41" s="101" t="n">
        <v>0</v>
      </c>
      <c r="E41" s="101" t="n">
        <v>0</v>
      </c>
      <c r="F41" s="101" t="n">
        <v>0</v>
      </c>
      <c r="G41" s="101" t="n">
        <v>0</v>
      </c>
      <c r="H41" s="101" t="n">
        <v>0</v>
      </c>
      <c r="I41" s="101" t="n">
        <v>0</v>
      </c>
      <c r="J41" s="101" t="n">
        <v>0</v>
      </c>
      <c r="K41" s="101" t="n">
        <v>0</v>
      </c>
      <c r="L41" s="101" t="n">
        <v>0</v>
      </c>
      <c r="M41" s="101" t="n">
        <v>0</v>
      </c>
      <c r="N41" s="101" t="n">
        <v>0</v>
      </c>
    </row>
    <row r="42" customFormat="false" ht="15" hidden="false" customHeight="false" outlineLevel="1" collapsed="false">
      <c r="A42" s="5" t="s">
        <v>358</v>
      </c>
      <c r="B42" s="101" t="n">
        <v>90</v>
      </c>
      <c r="C42" s="101" t="n">
        <v>90</v>
      </c>
      <c r="D42" s="101" t="n">
        <v>90</v>
      </c>
      <c r="E42" s="101" t="n">
        <v>90</v>
      </c>
      <c r="F42" s="101" t="n">
        <v>90</v>
      </c>
      <c r="G42" s="101" t="n">
        <v>90</v>
      </c>
      <c r="H42" s="101" t="n">
        <v>90</v>
      </c>
      <c r="I42" s="101" t="n">
        <v>90</v>
      </c>
      <c r="J42" s="101" t="n">
        <v>120</v>
      </c>
      <c r="K42" s="101" t="n">
        <v>90</v>
      </c>
      <c r="L42" s="101" t="n">
        <v>90</v>
      </c>
      <c r="M42" s="101" t="n">
        <v>250</v>
      </c>
      <c r="N42" s="101" t="n">
        <v>1270</v>
      </c>
    </row>
    <row r="43" customFormat="false" ht="15" hidden="false" customHeight="false" outlineLevel="1" collapsed="false">
      <c r="A43" s="5" t="s">
        <v>359</v>
      </c>
      <c r="B43" s="101" t="n">
        <v>126</v>
      </c>
      <c r="C43" s="101" t="n">
        <v>126</v>
      </c>
      <c r="D43" s="101" t="n">
        <v>126</v>
      </c>
      <c r="E43" s="101" t="n">
        <v>126</v>
      </c>
      <c r="F43" s="101" t="n">
        <v>126</v>
      </c>
      <c r="G43" s="101" t="n">
        <v>126</v>
      </c>
      <c r="H43" s="101" t="n">
        <v>126</v>
      </c>
      <c r="I43" s="101" t="n">
        <v>126</v>
      </c>
      <c r="J43" s="101" t="n">
        <v>126</v>
      </c>
      <c r="K43" s="101" t="n">
        <v>126</v>
      </c>
      <c r="L43" s="101" t="n">
        <v>126</v>
      </c>
      <c r="M43" s="101" t="n">
        <v>126</v>
      </c>
      <c r="N43" s="101" t="n">
        <v>1512</v>
      </c>
    </row>
    <row r="44" customFormat="false" ht="15" hidden="false" customHeight="false" outlineLevel="1" collapsed="false">
      <c r="A44" s="5" t="s">
        <v>360</v>
      </c>
      <c r="B44" s="101" t="n">
        <v>10933</v>
      </c>
      <c r="C44" s="101" t="n">
        <v>11433</v>
      </c>
      <c r="D44" s="101" t="n">
        <v>10933</v>
      </c>
      <c r="E44" s="101" t="n">
        <v>10933</v>
      </c>
      <c r="F44" s="101" t="n">
        <v>11433</v>
      </c>
      <c r="G44" s="101" t="n">
        <v>11633</v>
      </c>
      <c r="H44" s="101" t="n">
        <v>11433</v>
      </c>
      <c r="I44" s="101" t="n">
        <v>10933</v>
      </c>
      <c r="J44" s="101" t="n">
        <v>11433</v>
      </c>
      <c r="K44" s="101" t="n">
        <v>10933</v>
      </c>
      <c r="L44" s="101" t="n">
        <v>10933</v>
      </c>
      <c r="M44" s="101" t="n">
        <v>10933</v>
      </c>
      <c r="N44" s="101" t="n">
        <v>133896</v>
      </c>
    </row>
    <row r="45" customFormat="false" ht="15" hidden="false" customHeight="false" outlineLevel="1" collapsed="false">
      <c r="A45" s="5" t="s">
        <v>361</v>
      </c>
      <c r="B45" s="101" t="n">
        <v>0</v>
      </c>
      <c r="C45" s="101" t="n">
        <v>0</v>
      </c>
      <c r="D45" s="101" t="n">
        <v>0</v>
      </c>
      <c r="E45" s="101" t="n">
        <v>0</v>
      </c>
      <c r="F45" s="101" t="n">
        <v>0</v>
      </c>
      <c r="G45" s="101" t="n">
        <v>0</v>
      </c>
      <c r="H45" s="101" t="n">
        <v>0</v>
      </c>
      <c r="I45" s="101" t="n">
        <v>0</v>
      </c>
      <c r="J45" s="101" t="n">
        <v>0</v>
      </c>
      <c r="K45" s="101" t="n">
        <v>0</v>
      </c>
      <c r="L45" s="101" t="n">
        <v>0</v>
      </c>
      <c r="M45" s="101" t="n">
        <v>0</v>
      </c>
      <c r="N45" s="101" t="n">
        <v>0</v>
      </c>
    </row>
    <row r="46" customFormat="false" ht="15" hidden="false" customHeight="false" outlineLevel="1" collapsed="false">
      <c r="A46" s="5" t="s">
        <v>362</v>
      </c>
      <c r="B46" s="101" t="n">
        <v>37971.96</v>
      </c>
      <c r="C46" s="101" t="n">
        <v>40333.9231</v>
      </c>
      <c r="D46" s="101" t="n">
        <v>36034.32</v>
      </c>
      <c r="E46" s="101" t="n">
        <v>37235.6795</v>
      </c>
      <c r="F46" s="101" t="n">
        <v>36164.2441</v>
      </c>
      <c r="G46" s="101" t="n">
        <v>40835.3172</v>
      </c>
      <c r="H46" s="101" t="n">
        <v>37124.5974</v>
      </c>
      <c r="I46" s="101" t="n">
        <v>35166.72</v>
      </c>
      <c r="J46" s="101" t="n">
        <v>39837.3</v>
      </c>
      <c r="K46" s="101" t="n">
        <v>38174.4</v>
      </c>
      <c r="L46" s="101" t="n">
        <v>38656.4</v>
      </c>
      <c r="M46" s="101" t="n">
        <v>37451.4</v>
      </c>
      <c r="N46" s="101" t="n">
        <v>454986.2613</v>
      </c>
    </row>
    <row r="47" customFormat="false" ht="15" hidden="false" customHeight="false" outlineLevel="1" collapsed="false">
      <c r="A47" s="5" t="s">
        <v>363</v>
      </c>
      <c r="B47" s="102" t="n">
        <v>0</v>
      </c>
      <c r="C47" s="102" t="n">
        <v>0</v>
      </c>
      <c r="D47" s="102" t="n">
        <v>0</v>
      </c>
      <c r="E47" s="102" t="n">
        <v>0</v>
      </c>
      <c r="F47" s="102" t="n">
        <v>0</v>
      </c>
      <c r="G47" s="102" t="n">
        <v>0</v>
      </c>
      <c r="H47" s="102" t="n">
        <v>0</v>
      </c>
      <c r="I47" s="102" t="n">
        <v>0</v>
      </c>
      <c r="J47" s="102" t="n">
        <v>0</v>
      </c>
      <c r="K47" s="102" t="n">
        <v>0</v>
      </c>
      <c r="L47" s="102" t="n">
        <v>0</v>
      </c>
      <c r="M47" s="102" t="n">
        <v>0</v>
      </c>
      <c r="N47" s="102" t="n">
        <v>0</v>
      </c>
    </row>
    <row r="48" customFormat="false" ht="15" hidden="false" customHeight="false" outlineLevel="1" collapsed="false">
      <c r="A48" s="5" t="s">
        <v>364</v>
      </c>
      <c r="B48" s="102" t="n">
        <v>0</v>
      </c>
      <c r="C48" s="102" t="n">
        <v>0</v>
      </c>
      <c r="D48" s="102" t="n">
        <v>0</v>
      </c>
      <c r="E48" s="102" t="n">
        <v>0</v>
      </c>
      <c r="F48" s="102" t="n">
        <v>0</v>
      </c>
      <c r="G48" s="102" t="n">
        <v>0</v>
      </c>
      <c r="H48" s="102" t="n">
        <v>0</v>
      </c>
      <c r="I48" s="102" t="n">
        <v>0</v>
      </c>
      <c r="J48" s="102" t="n">
        <v>0</v>
      </c>
      <c r="K48" s="102" t="n">
        <v>0</v>
      </c>
      <c r="L48" s="102" t="n">
        <v>0</v>
      </c>
      <c r="M48" s="102" t="n">
        <v>0</v>
      </c>
      <c r="N48" s="102" t="n">
        <v>0</v>
      </c>
    </row>
    <row r="49" customFormat="false" ht="15" hidden="false" customHeight="false" outlineLevel="1" collapsed="false">
      <c r="A49" s="5" t="s">
        <v>365</v>
      </c>
      <c r="B49" s="101" t="n">
        <v>8837</v>
      </c>
      <c r="C49" s="101" t="n">
        <v>8837</v>
      </c>
      <c r="D49" s="101" t="n">
        <v>8837</v>
      </c>
      <c r="E49" s="101" t="n">
        <v>8837</v>
      </c>
      <c r="F49" s="101" t="n">
        <v>8962</v>
      </c>
      <c r="G49" s="101" t="n">
        <v>8962</v>
      </c>
      <c r="H49" s="101" t="n">
        <v>8837</v>
      </c>
      <c r="I49" s="101" t="n">
        <v>8812</v>
      </c>
      <c r="J49" s="101" t="n">
        <v>8812</v>
      </c>
      <c r="K49" s="101" t="n">
        <v>8812</v>
      </c>
      <c r="L49" s="101" t="n">
        <v>8812</v>
      </c>
      <c r="M49" s="101" t="n">
        <v>8962</v>
      </c>
      <c r="N49" s="101" t="n">
        <v>106319</v>
      </c>
    </row>
    <row r="50" customFormat="false" ht="15" hidden="false" customHeight="false" outlineLevel="1" collapsed="false">
      <c r="A50" s="5" t="s">
        <v>366</v>
      </c>
      <c r="B50" s="101" t="n">
        <v>0</v>
      </c>
      <c r="C50" s="101" t="n">
        <v>0</v>
      </c>
      <c r="D50" s="101" t="n">
        <v>0</v>
      </c>
      <c r="E50" s="101" t="n">
        <v>0</v>
      </c>
      <c r="F50" s="101" t="n">
        <v>0</v>
      </c>
      <c r="G50" s="101" t="n">
        <v>0</v>
      </c>
      <c r="H50" s="101" t="n">
        <v>0</v>
      </c>
      <c r="I50" s="101" t="n">
        <v>0</v>
      </c>
      <c r="J50" s="101" t="n">
        <v>0</v>
      </c>
      <c r="K50" s="101" t="n">
        <v>0</v>
      </c>
      <c r="L50" s="101" t="n">
        <v>0</v>
      </c>
      <c r="M50" s="101" t="n">
        <v>0</v>
      </c>
      <c r="N50" s="101" t="n">
        <v>0</v>
      </c>
    </row>
    <row r="51" customFormat="false" ht="15" hidden="false" customHeight="false" outlineLevel="1" collapsed="false">
      <c r="A51" s="5" t="s">
        <v>367</v>
      </c>
      <c r="B51" s="101" t="n">
        <v>0</v>
      </c>
      <c r="C51" s="101" t="n">
        <v>0</v>
      </c>
      <c r="D51" s="101" t="n">
        <v>0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 t="n">
        <v>0</v>
      </c>
      <c r="K51" s="101" t="n">
        <v>0</v>
      </c>
      <c r="L51" s="101" t="n">
        <v>0</v>
      </c>
      <c r="M51" s="101" t="n">
        <v>0</v>
      </c>
      <c r="N51" s="101" t="n">
        <v>0</v>
      </c>
    </row>
    <row r="52" customFormat="false" ht="15" hidden="false" customHeight="false" outlineLevel="1" collapsed="false">
      <c r="A52" s="5" t="s">
        <v>368</v>
      </c>
      <c r="B52" s="101" t="n">
        <v>1032</v>
      </c>
      <c r="C52" s="101" t="n">
        <v>1032</v>
      </c>
      <c r="D52" s="101" t="n">
        <v>1032</v>
      </c>
      <c r="E52" s="101" t="n">
        <v>1032</v>
      </c>
      <c r="F52" s="101" t="n">
        <v>1032</v>
      </c>
      <c r="G52" s="101" t="n">
        <v>1032</v>
      </c>
      <c r="H52" s="101" t="n">
        <v>1032</v>
      </c>
      <c r="I52" s="101" t="n">
        <v>1032</v>
      </c>
      <c r="J52" s="101" t="n">
        <v>1032</v>
      </c>
      <c r="K52" s="101" t="n">
        <v>1032</v>
      </c>
      <c r="L52" s="101" t="n">
        <v>1032</v>
      </c>
      <c r="M52" s="101" t="n">
        <v>1032</v>
      </c>
      <c r="N52" s="101" t="n">
        <v>12384</v>
      </c>
    </row>
    <row r="53" customFormat="false" ht="15" hidden="false" customHeight="false" outlineLevel="1" collapsed="false">
      <c r="A53" s="5" t="s">
        <v>369</v>
      </c>
      <c r="B53" s="101" t="n">
        <v>0</v>
      </c>
      <c r="C53" s="101" t="n">
        <v>0</v>
      </c>
      <c r="D53" s="101" t="n">
        <v>0</v>
      </c>
      <c r="E53" s="101" t="n">
        <v>0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 t="n">
        <v>0</v>
      </c>
      <c r="K53" s="101" t="n">
        <v>0</v>
      </c>
      <c r="L53" s="101" t="n">
        <v>0</v>
      </c>
      <c r="M53" s="101" t="n">
        <v>0</v>
      </c>
      <c r="N53" s="101" t="n">
        <v>0</v>
      </c>
    </row>
    <row r="54" customFormat="false" ht="15" hidden="false" customHeight="false" outlineLevel="1" collapsed="false">
      <c r="A54" s="5" t="s">
        <v>370</v>
      </c>
      <c r="B54" s="101" t="n">
        <v>10</v>
      </c>
      <c r="C54" s="101" t="n">
        <v>10</v>
      </c>
      <c r="D54" s="101" t="n">
        <v>10</v>
      </c>
      <c r="E54" s="101" t="n">
        <v>10</v>
      </c>
      <c r="F54" s="101" t="n">
        <v>10</v>
      </c>
      <c r="G54" s="101" t="n">
        <v>10</v>
      </c>
      <c r="H54" s="101" t="n">
        <v>10</v>
      </c>
      <c r="I54" s="101" t="n">
        <v>10</v>
      </c>
      <c r="J54" s="101" t="n">
        <v>10</v>
      </c>
      <c r="K54" s="101" t="n">
        <v>10</v>
      </c>
      <c r="L54" s="101" t="n">
        <v>10</v>
      </c>
      <c r="M54" s="101" t="n">
        <v>10</v>
      </c>
      <c r="N54" s="101" t="n">
        <v>120</v>
      </c>
    </row>
    <row r="55" customFormat="false" ht="15" hidden="false" customHeight="false" outlineLevel="1" collapsed="false">
      <c r="A55" s="5" t="s">
        <v>371</v>
      </c>
      <c r="B55" s="101" t="n">
        <v>9850.1867</v>
      </c>
      <c r="C55" s="101" t="n">
        <v>9916.8533</v>
      </c>
      <c r="D55" s="101" t="n">
        <v>11149.895</v>
      </c>
      <c r="E55" s="101" t="n">
        <v>11393.2283</v>
      </c>
      <c r="F55" s="101" t="n">
        <v>12143.2283</v>
      </c>
      <c r="G55" s="101" t="n">
        <v>12226.5617</v>
      </c>
      <c r="H55" s="101" t="n">
        <v>12226.5617</v>
      </c>
      <c r="I55" s="101" t="n">
        <v>12476.5617</v>
      </c>
      <c r="J55" s="101" t="n">
        <v>12476.5617</v>
      </c>
      <c r="K55" s="101" t="n">
        <v>12476.5617</v>
      </c>
      <c r="L55" s="101" t="n">
        <v>12476.5617</v>
      </c>
      <c r="M55" s="101" t="n">
        <v>12476.5617</v>
      </c>
      <c r="N55" s="101" t="n">
        <v>141289.3235</v>
      </c>
    </row>
    <row r="56" customFormat="false" ht="15" hidden="false" customHeight="false" outlineLevel="1" collapsed="false">
      <c r="A56" s="5" t="s">
        <v>372</v>
      </c>
      <c r="B56" s="101" t="n">
        <v>984</v>
      </c>
      <c r="C56" s="101" t="n">
        <v>984</v>
      </c>
      <c r="D56" s="101" t="n">
        <v>1014</v>
      </c>
      <c r="E56" s="101" t="n">
        <v>1160</v>
      </c>
      <c r="F56" s="101" t="n">
        <v>1506</v>
      </c>
      <c r="G56" s="101" t="n">
        <v>1605</v>
      </c>
      <c r="H56" s="101" t="n">
        <v>1285</v>
      </c>
      <c r="I56" s="101" t="n">
        <v>1160</v>
      </c>
      <c r="J56" s="101" t="n">
        <v>1190</v>
      </c>
      <c r="K56" s="101" t="n">
        <v>1160</v>
      </c>
      <c r="L56" s="101" t="n">
        <v>1324</v>
      </c>
      <c r="M56" s="101" t="n">
        <v>1741</v>
      </c>
      <c r="N56" s="101" t="n">
        <v>15113</v>
      </c>
    </row>
    <row r="57" customFormat="false" ht="15" hidden="false" customHeight="false" outlineLevel="1" collapsed="false">
      <c r="A57" s="5" t="s">
        <v>373</v>
      </c>
      <c r="B57" s="101" t="n">
        <v>300</v>
      </c>
      <c r="C57" s="101" t="n">
        <v>300</v>
      </c>
      <c r="D57" s="101" t="n">
        <v>300</v>
      </c>
      <c r="E57" s="101" t="n">
        <v>300</v>
      </c>
      <c r="F57" s="101" t="n">
        <v>300</v>
      </c>
      <c r="G57" s="101" t="n">
        <v>300</v>
      </c>
      <c r="H57" s="101" t="n">
        <v>300</v>
      </c>
      <c r="I57" s="101" t="n">
        <v>300</v>
      </c>
      <c r="J57" s="101" t="n">
        <v>300</v>
      </c>
      <c r="K57" s="101" t="n">
        <v>300</v>
      </c>
      <c r="L57" s="101" t="n">
        <v>300</v>
      </c>
      <c r="M57" s="101" t="n">
        <v>300</v>
      </c>
      <c r="N57" s="101" t="n">
        <v>3600</v>
      </c>
    </row>
    <row r="58" customFormat="false" ht="15" hidden="false" customHeight="false" outlineLevel="0" collapsed="false">
      <c r="A58" s="5" t="s">
        <v>374</v>
      </c>
      <c r="B58" s="101" t="n">
        <v>219177.7467</v>
      </c>
      <c r="C58" s="101" t="n">
        <v>226585.3764</v>
      </c>
      <c r="D58" s="101" t="n">
        <v>215497.815</v>
      </c>
      <c r="E58" s="101" t="n">
        <v>218565.5078</v>
      </c>
      <c r="F58" s="101" t="n">
        <v>208982.0724</v>
      </c>
      <c r="G58" s="101" t="n">
        <v>232441.4789</v>
      </c>
      <c r="H58" s="101" t="n">
        <v>221115.7591</v>
      </c>
      <c r="I58" s="101" t="n">
        <v>209676.8817</v>
      </c>
      <c r="J58" s="101" t="n">
        <v>231054.4617</v>
      </c>
      <c r="K58" s="101" t="n">
        <v>221039.5617</v>
      </c>
      <c r="L58" s="101" t="n">
        <v>225189.5617</v>
      </c>
      <c r="M58" s="101" t="n">
        <v>222969.5617</v>
      </c>
      <c r="N58" s="101" t="n">
        <v>2652295.7848</v>
      </c>
    </row>
    <row r="59" customFormat="false" ht="15" hidden="false" customHeight="false" outlineLevel="0" collapsed="false">
      <c r="A59" s="5" t="s">
        <v>375</v>
      </c>
      <c r="B59" s="101" t="n">
        <v>0</v>
      </c>
      <c r="C59" s="101" t="n">
        <v>0</v>
      </c>
      <c r="D59" s="101" t="n">
        <v>0</v>
      </c>
      <c r="E59" s="101" t="n">
        <v>0</v>
      </c>
      <c r="F59" s="101" t="n">
        <v>0</v>
      </c>
      <c r="G59" s="101" t="n">
        <v>0</v>
      </c>
      <c r="H59" s="101" t="n">
        <v>0</v>
      </c>
      <c r="I59" s="101" t="n">
        <v>0</v>
      </c>
      <c r="J59" s="101" t="n">
        <v>0</v>
      </c>
      <c r="K59" s="101" t="n">
        <v>0</v>
      </c>
      <c r="L59" s="101" t="n">
        <v>0</v>
      </c>
      <c r="M59" s="101" t="n">
        <v>0</v>
      </c>
      <c r="N59" s="101" t="n">
        <v>0</v>
      </c>
    </row>
    <row r="60" customFormat="false" ht="15" hidden="false" customHeight="false" outlineLevel="0" collapsed="false">
      <c r="A60" s="5" t="s">
        <v>376</v>
      </c>
      <c r="B60" s="101" t="n">
        <v>4992.25329999998</v>
      </c>
      <c r="C60" s="101" t="n">
        <v>11406.0076</v>
      </c>
      <c r="D60" s="101" t="n">
        <v>-2807.815</v>
      </c>
      <c r="E60" s="101" t="n">
        <v>1098.96319999997</v>
      </c>
      <c r="F60" s="101" t="n">
        <v>4249.44759999999</v>
      </c>
      <c r="G60" s="101" t="n">
        <v>8054.27110000001</v>
      </c>
      <c r="H60" s="101" t="n">
        <v>-2319.89610000001</v>
      </c>
      <c r="I60" s="101" t="n">
        <v>-2565.48170000003</v>
      </c>
      <c r="J60" s="101" t="n">
        <v>3454.53829999999</v>
      </c>
      <c r="K60" s="101" t="n">
        <v>3740.43829999998</v>
      </c>
      <c r="L60" s="101" t="n">
        <v>2410.43829999998</v>
      </c>
      <c r="M60" s="101" t="n">
        <v>-3722.29310000001</v>
      </c>
      <c r="N60" s="101" t="n">
        <v>27990.8717999998</v>
      </c>
    </row>
    <row r="61" customFormat="false" ht="15" hidden="false" customHeight="false" outlineLevel="1" collapsed="false">
      <c r="A61" s="5" t="s">
        <v>377</v>
      </c>
      <c r="B61" s="101" t="n">
        <v>0</v>
      </c>
      <c r="C61" s="101" t="n">
        <v>0</v>
      </c>
      <c r="D61" s="101" t="n">
        <v>0</v>
      </c>
      <c r="E61" s="101" t="n">
        <v>0</v>
      </c>
      <c r="F61" s="101" t="n">
        <v>0</v>
      </c>
      <c r="G61" s="101" t="n">
        <v>0</v>
      </c>
      <c r="H61" s="101" t="n">
        <v>0</v>
      </c>
      <c r="I61" s="101" t="n">
        <v>0</v>
      </c>
      <c r="J61" s="101" t="n">
        <v>0</v>
      </c>
      <c r="K61" s="101" t="n">
        <v>0</v>
      </c>
      <c r="L61" s="101" t="n">
        <v>0</v>
      </c>
      <c r="M61" s="101" t="n">
        <v>0</v>
      </c>
      <c r="N61" s="101" t="n">
        <v>0</v>
      </c>
    </row>
    <row r="62" customFormat="false" ht="15" hidden="false" customHeight="false" outlineLevel="1" collapsed="false">
      <c r="A62" s="5" t="s">
        <v>378</v>
      </c>
      <c r="B62" s="101" t="n">
        <v>0</v>
      </c>
      <c r="C62" s="101" t="n">
        <v>0</v>
      </c>
      <c r="D62" s="101" t="n">
        <v>0</v>
      </c>
      <c r="E62" s="101" t="n">
        <v>0</v>
      </c>
      <c r="F62" s="101" t="n">
        <v>0</v>
      </c>
      <c r="G62" s="101" t="n">
        <v>0</v>
      </c>
      <c r="H62" s="101" t="n">
        <v>0</v>
      </c>
      <c r="I62" s="101" t="n">
        <v>0</v>
      </c>
      <c r="J62" s="101" t="n">
        <v>0</v>
      </c>
      <c r="K62" s="101" t="n">
        <v>0</v>
      </c>
      <c r="L62" s="101" t="n">
        <v>0</v>
      </c>
      <c r="M62" s="101" t="n">
        <v>0</v>
      </c>
      <c r="N62" s="101" t="n">
        <v>0</v>
      </c>
    </row>
    <row r="63" customFormat="false" ht="15" hidden="false" customHeight="false" outlineLevel="1" collapsed="false">
      <c r="A63" s="5" t="s">
        <v>379</v>
      </c>
      <c r="B63" s="101" t="n">
        <v>0</v>
      </c>
      <c r="C63" s="101" t="n">
        <v>0</v>
      </c>
      <c r="D63" s="101" t="n">
        <v>0</v>
      </c>
      <c r="E63" s="101" t="n">
        <v>0</v>
      </c>
      <c r="F63" s="101" t="n">
        <v>0</v>
      </c>
      <c r="G63" s="101" t="n">
        <v>0</v>
      </c>
      <c r="H63" s="101" t="n">
        <v>0</v>
      </c>
      <c r="I63" s="101" t="n">
        <v>0</v>
      </c>
      <c r="J63" s="101" t="n">
        <v>0</v>
      </c>
      <c r="K63" s="101" t="n">
        <v>0</v>
      </c>
      <c r="L63" s="101" t="n">
        <v>0</v>
      </c>
      <c r="M63" s="101" t="n">
        <v>0</v>
      </c>
      <c r="N63" s="101" t="n">
        <v>0</v>
      </c>
    </row>
    <row r="64" customFormat="false" ht="15" hidden="false" customHeight="false" outlineLevel="1" collapsed="false">
      <c r="A64" s="5" t="s">
        <v>380</v>
      </c>
      <c r="B64" s="101" t="n">
        <v>0</v>
      </c>
      <c r="C64" s="101" t="n">
        <v>0</v>
      </c>
      <c r="D64" s="101" t="n">
        <v>0</v>
      </c>
      <c r="E64" s="101" t="n">
        <v>0</v>
      </c>
      <c r="F64" s="101" t="n">
        <v>0</v>
      </c>
      <c r="G64" s="101" t="n">
        <v>0</v>
      </c>
      <c r="H64" s="101" t="n">
        <v>0</v>
      </c>
      <c r="I64" s="101" t="n">
        <v>0</v>
      </c>
      <c r="J64" s="101" t="n">
        <v>0</v>
      </c>
      <c r="K64" s="101" t="n">
        <v>0</v>
      </c>
      <c r="L64" s="101" t="n">
        <v>0</v>
      </c>
      <c r="M64" s="101" t="n">
        <v>0</v>
      </c>
      <c r="N64" s="101" t="n">
        <v>0</v>
      </c>
    </row>
    <row r="65" customFormat="false" ht="15" hidden="false" customHeight="false" outlineLevel="1" collapsed="false">
      <c r="A65" s="5" t="s">
        <v>381</v>
      </c>
      <c r="B65" s="101" t="n">
        <v>0</v>
      </c>
      <c r="C65" s="101" t="n">
        <v>0</v>
      </c>
      <c r="D65" s="101" t="n">
        <v>0</v>
      </c>
      <c r="E65" s="101" t="n">
        <v>0</v>
      </c>
      <c r="F65" s="101" t="n">
        <v>0</v>
      </c>
      <c r="G65" s="101" t="n">
        <v>0</v>
      </c>
      <c r="H65" s="101" t="n">
        <v>0</v>
      </c>
      <c r="I65" s="101" t="n">
        <v>0</v>
      </c>
      <c r="J65" s="101" t="n">
        <v>0</v>
      </c>
      <c r="K65" s="101" t="n">
        <v>0</v>
      </c>
      <c r="L65" s="101" t="n">
        <v>0</v>
      </c>
      <c r="M65" s="101" t="n">
        <v>0</v>
      </c>
      <c r="N65" s="101" t="n">
        <v>0</v>
      </c>
    </row>
    <row r="66" customFormat="false" ht="15" hidden="false" customHeight="false" outlineLevel="0" collapsed="false">
      <c r="A66" s="5" t="s">
        <v>382</v>
      </c>
      <c r="B66" s="101" t="n">
        <v>4992.25329999998</v>
      </c>
      <c r="C66" s="101" t="n">
        <v>11406.0076</v>
      </c>
      <c r="D66" s="101" t="n">
        <v>-2807.815</v>
      </c>
      <c r="E66" s="101" t="n">
        <v>1098.96319999997</v>
      </c>
      <c r="F66" s="101" t="n">
        <v>4249.44759999999</v>
      </c>
      <c r="G66" s="101" t="n">
        <v>8054.27110000001</v>
      </c>
      <c r="H66" s="101" t="n">
        <v>-2319.89610000001</v>
      </c>
      <c r="I66" s="101" t="n">
        <v>-2565.48170000003</v>
      </c>
      <c r="J66" s="101" t="n">
        <v>3454.53829999999</v>
      </c>
      <c r="K66" s="101" t="n">
        <v>3740.43829999998</v>
      </c>
      <c r="L66" s="101" t="n">
        <v>2410.43829999998</v>
      </c>
      <c r="M66" s="101" t="n">
        <v>-3722.29310000001</v>
      </c>
      <c r="N66" s="101" t="n">
        <v>27990.8717999998</v>
      </c>
    </row>
    <row r="67" customFormat="false" ht="14.15" hidden="false" customHeight="false" outlineLevel="0" collapsed="false">
      <c r="A67" s="5" t="s">
        <v>383</v>
      </c>
      <c r="B67" s="102" t="s">
        <v>384</v>
      </c>
      <c r="C67" s="102" t="s">
        <v>385</v>
      </c>
      <c r="D67" s="102" t="s">
        <v>386</v>
      </c>
      <c r="E67" s="102" t="s">
        <v>387</v>
      </c>
      <c r="F67" s="102" t="s">
        <v>388</v>
      </c>
      <c r="G67" s="102" t="s">
        <v>389</v>
      </c>
      <c r="H67" s="102" t="s">
        <v>390</v>
      </c>
      <c r="I67" s="102" t="s">
        <v>391</v>
      </c>
      <c r="J67" s="102" t="s">
        <v>392</v>
      </c>
      <c r="K67" s="102" t="s">
        <v>393</v>
      </c>
      <c r="L67" s="102" t="s">
        <v>394</v>
      </c>
      <c r="M67" s="102" t="s">
        <v>395</v>
      </c>
      <c r="N67" s="102" t="s">
        <v>396</v>
      </c>
    </row>
    <row r="68" customFormat="false" ht="15" hidden="false" customHeight="false" outlineLevel="0" collapsed="false">
      <c r="A68" s="5" t="s">
        <v>397</v>
      </c>
      <c r="B68" s="102" t="n">
        <v>0.613257795423116</v>
      </c>
      <c r="C68" s="102" t="n">
        <v>0.582596721232564</v>
      </c>
      <c r="D68" s="102" t="n">
        <v>0.666707414546993</v>
      </c>
      <c r="E68" s="102" t="n">
        <v>0.639607303631729</v>
      </c>
      <c r="F68" s="102" t="n">
        <v>0.626295774658456</v>
      </c>
      <c r="G68" s="102" t="n">
        <v>0.602181119624775</v>
      </c>
      <c r="H68" s="102" t="n">
        <v>0.661401902283683</v>
      </c>
      <c r="I68" s="102" t="n">
        <v>0.651827953458863</v>
      </c>
      <c r="J68" s="102" t="n">
        <v>0.612718488416223</v>
      </c>
      <c r="K68" s="102" t="n">
        <v>0.61992170121897</v>
      </c>
      <c r="L68" s="102" t="n">
        <v>0.634226713532513</v>
      </c>
      <c r="M68" s="102" t="n">
        <v>0.650443679005085</v>
      </c>
      <c r="N68" s="102" t="n">
        <v>0.629224115206902</v>
      </c>
    </row>
    <row r="69" customFormat="false" ht="15" hidden="false" customHeight="false" outlineLevel="0" collapsed="false">
      <c r="A69" s="5" t="s">
        <v>398</v>
      </c>
      <c r="B69" s="102" t="n">
        <v>0.169389124325289</v>
      </c>
      <c r="C69" s="102" t="n">
        <v>0.169476400456581</v>
      </c>
      <c r="D69" s="102" t="n">
        <v>0.169421787578165</v>
      </c>
      <c r="E69" s="102" t="n">
        <v>0.169511616195775</v>
      </c>
      <c r="F69" s="102" t="n">
        <v>0.169600836217835</v>
      </c>
      <c r="G69" s="102" t="n">
        <v>0.169796419271442</v>
      </c>
      <c r="H69" s="102" t="n">
        <v>0.169676870901348</v>
      </c>
      <c r="I69" s="102" t="n">
        <v>0.169796158009651</v>
      </c>
      <c r="J69" s="102" t="n">
        <v>0.169875356596122</v>
      </c>
      <c r="K69" s="102" t="n">
        <v>0.169830056054809</v>
      </c>
      <c r="L69" s="102" t="n">
        <v>0.169843585237258</v>
      </c>
      <c r="M69" s="102" t="n">
        <v>0.170818091550902</v>
      </c>
      <c r="N69" s="102" t="n">
        <v>0.169752836018353</v>
      </c>
    </row>
    <row r="70" customFormat="false" ht="15" hidden="false" customHeight="false" outlineLevel="0" collapsed="false">
      <c r="A70" s="5" t="s">
        <v>399</v>
      </c>
      <c r="B70" s="102" t="n">
        <v>0</v>
      </c>
      <c r="C70" s="102" t="n">
        <v>0</v>
      </c>
      <c r="D70" s="102" t="n">
        <v>0</v>
      </c>
      <c r="E70" s="102" t="n">
        <v>0</v>
      </c>
      <c r="F70" s="102" t="n">
        <v>0</v>
      </c>
      <c r="G70" s="102" t="n">
        <v>0</v>
      </c>
      <c r="H70" s="102" t="n">
        <v>0</v>
      </c>
      <c r="I70" s="102" t="n">
        <v>0</v>
      </c>
      <c r="J70" s="102" t="n">
        <v>0</v>
      </c>
      <c r="K70" s="102" t="n">
        <v>0</v>
      </c>
      <c r="L70" s="102" t="n">
        <v>0</v>
      </c>
      <c r="M70" s="102" t="n">
        <v>0</v>
      </c>
      <c r="N70" s="102" t="n">
        <v>0</v>
      </c>
    </row>
    <row r="71" customFormat="false" ht="15" hidden="false" customHeight="false" outlineLevel="0" collapsed="false">
      <c r="A71" s="5" t="s">
        <v>400</v>
      </c>
      <c r="B71" s="102" t="n">
        <v>0.0577766280055315</v>
      </c>
      <c r="C71" s="102" t="n">
        <v>0.0547013638947534</v>
      </c>
      <c r="D71" s="102" t="n">
        <v>0.0670059476233015</v>
      </c>
      <c r="E71" s="102" t="n">
        <v>0.0659862208668238</v>
      </c>
      <c r="F71" s="102" t="n">
        <v>0.071494253288632</v>
      </c>
      <c r="G71" s="102" t="n">
        <v>0.0637356863894684</v>
      </c>
      <c r="H71" s="102" t="n">
        <v>0.0700569082515057</v>
      </c>
      <c r="I71" s="102" t="n">
        <v>0.0752163410608977</v>
      </c>
      <c r="J71" s="102" t="n">
        <v>0.0664288436691129</v>
      </c>
      <c r="K71" s="102" t="n">
        <v>0.0693040381706558</v>
      </c>
      <c r="L71" s="102" t="n">
        <v>0.0684453501757469</v>
      </c>
      <c r="M71" s="102" t="n">
        <v>0.0710529339748409</v>
      </c>
      <c r="N71" s="102" t="n">
        <v>0.066600534334802</v>
      </c>
    </row>
    <row r="72" customFormat="false" ht="15" hidden="false" customHeight="false" outlineLevel="0" collapsed="false">
      <c r="A72" s="5" t="s">
        <v>325</v>
      </c>
      <c r="B72" s="102" t="n">
        <v>0.284551916730135</v>
      </c>
      <c r="C72" s="102" t="n">
        <v>0.284405379507882</v>
      </c>
      <c r="D72" s="102" t="n">
        <v>0.284497057249866</v>
      </c>
      <c r="E72" s="102" t="n">
        <v>0.284346294837306</v>
      </c>
      <c r="F72" s="102" t="n">
        <v>0.284196712250128</v>
      </c>
      <c r="G72" s="102" t="n">
        <v>0.283869355230415</v>
      </c>
      <c r="H72" s="102" t="n">
        <v>0.284069359296697</v>
      </c>
      <c r="I72" s="102" t="n">
        <v>0.283869791666667</v>
      </c>
      <c r="J72" s="102" t="n">
        <v>0.283737447065941</v>
      </c>
      <c r="K72" s="102" t="n">
        <v>0.283813131313131</v>
      </c>
      <c r="L72" s="102" t="n">
        <v>0.283790523690773</v>
      </c>
      <c r="M72" s="102" t="n">
        <v>0.282171516859717</v>
      </c>
      <c r="N72" s="102" t="n">
        <v>0.283942237071634</v>
      </c>
    </row>
    <row r="73" customFormat="false" ht="15" hidden="false" customHeight="false" outlineLevel="0" collapsed="false">
      <c r="A73" s="5" t="s">
        <v>401</v>
      </c>
      <c r="B73" s="102" t="n">
        <v>0.174503681137345</v>
      </c>
      <c r="C73" s="102" t="n">
        <v>0.165693641602195</v>
      </c>
      <c r="D73" s="102" t="n">
        <v>0.189676297485286</v>
      </c>
      <c r="E73" s="102" t="n">
        <v>0.181869966938562</v>
      </c>
      <c r="F73" s="102" t="n">
        <v>0.17799120005408</v>
      </c>
      <c r="G73" s="102" t="n">
        <v>0.170940766159814</v>
      </c>
      <c r="H73" s="102" t="n">
        <v>0.187884014619343</v>
      </c>
      <c r="I73" s="102" t="n">
        <v>0.185034265350877</v>
      </c>
      <c r="J73" s="102" t="n">
        <v>0.173851179673321</v>
      </c>
      <c r="K73" s="102" t="n">
        <v>0.175941919191919</v>
      </c>
      <c r="L73" s="102" t="n">
        <v>0.17998753117207</v>
      </c>
      <c r="M73" s="102" t="n">
        <v>0.18353667953668</v>
      </c>
      <c r="N73" s="102" t="n">
        <v>0.178663302891267</v>
      </c>
    </row>
    <row r="74" customFormat="false" ht="15" hidden="false" customHeight="false" outlineLevel="0" collapsed="false">
      <c r="A74" s="5" t="s">
        <v>402</v>
      </c>
      <c r="B74" s="102" t="n">
        <v>0.0482</v>
      </c>
      <c r="C74" s="102" t="n">
        <v>0.0481999999894838</v>
      </c>
      <c r="D74" s="102" t="n">
        <v>0.0482</v>
      </c>
      <c r="E74" s="102" t="n">
        <v>0.0481999999971522</v>
      </c>
      <c r="F74" s="102" t="n">
        <v>0.0482000000479811</v>
      </c>
      <c r="G74" s="102" t="n">
        <v>0.0482000000590175</v>
      </c>
      <c r="H74" s="102" t="n">
        <v>0.0482000000044143</v>
      </c>
      <c r="I74" s="102" t="n">
        <v>0.0482</v>
      </c>
      <c r="J74" s="102" t="n">
        <v>0.0482</v>
      </c>
      <c r="K74" s="102" t="n">
        <v>0.0482</v>
      </c>
      <c r="L74" s="102" t="n">
        <v>0.0482</v>
      </c>
      <c r="M74" s="102" t="n">
        <v>0.0482</v>
      </c>
      <c r="N74" s="102" t="n">
        <v>0.0482000000083055</v>
      </c>
    </row>
    <row r="75" customFormat="false" ht="15" hidden="false" customHeight="false" outlineLevel="0" collapsed="false">
      <c r="A75" s="5" t="s">
        <v>403</v>
      </c>
      <c r="B75" s="102" t="n">
        <v>0</v>
      </c>
      <c r="C75" s="102" t="n">
        <v>0</v>
      </c>
      <c r="D75" s="102" t="n">
        <v>0</v>
      </c>
      <c r="E75" s="102" t="n">
        <v>0</v>
      </c>
      <c r="F75" s="102" t="n">
        <v>0</v>
      </c>
      <c r="G75" s="102" t="n">
        <v>0</v>
      </c>
      <c r="H75" s="102" t="n">
        <v>0</v>
      </c>
      <c r="I75" s="102" t="n">
        <v>0</v>
      </c>
      <c r="J75" s="102" t="n">
        <v>0</v>
      </c>
      <c r="K75" s="102" t="n">
        <v>0</v>
      </c>
      <c r="L75" s="102" t="n">
        <v>0</v>
      </c>
      <c r="M75" s="102" t="n">
        <v>0</v>
      </c>
      <c r="N75" s="102" t="n">
        <v>0</v>
      </c>
    </row>
    <row r="76" customFormat="false" ht="15" hidden="false" customHeight="false" outlineLevel="0" collapsed="false">
      <c r="A76" s="5" t="s">
        <v>404</v>
      </c>
      <c r="B76" s="102" t="n">
        <v>0.016440450241178</v>
      </c>
      <c r="C76" s="102" t="n">
        <v>0.0155573621580861</v>
      </c>
      <c r="D76" s="102" t="n">
        <v>0.019062994917068</v>
      </c>
      <c r="E76" s="102" t="n">
        <v>0.0187629374137975</v>
      </c>
      <c r="F76" s="102" t="n">
        <v>0.0203184317294071</v>
      </c>
      <c r="G76" s="102" t="n">
        <v>0.0180926082005463</v>
      </c>
      <c r="H76" s="102" t="n">
        <v>0.0199010210413127</v>
      </c>
      <c r="I76" s="102" t="n">
        <v>0.021351647066886</v>
      </c>
      <c r="J76" s="102" t="n">
        <v>0.0188483505142166</v>
      </c>
      <c r="K76" s="102" t="n">
        <v>0.0196693960858586</v>
      </c>
      <c r="L76" s="102" t="n">
        <v>0.0194241417705736</v>
      </c>
      <c r="M76" s="102" t="n">
        <v>0.0200491141570142</v>
      </c>
      <c r="N76" s="102" t="n">
        <v>0.0189107047091899</v>
      </c>
    </row>
    <row r="77" customFormat="false" ht="15" hidden="false" customHeight="false" outlineLevel="0" collapsed="false">
      <c r="A77" s="5" t="s">
        <v>405</v>
      </c>
      <c r="B77" s="102" t="n">
        <v>0.00633695519167299</v>
      </c>
      <c r="C77" s="102" t="n">
        <v>0.0136304510929176</v>
      </c>
      <c r="D77" s="102" t="n">
        <v>-0.00375577180310327</v>
      </c>
      <c r="E77" s="102" t="n">
        <v>0.00142256102072392</v>
      </c>
      <c r="F77" s="102" t="n">
        <v>0.00566369848509823</v>
      </c>
      <c r="G77" s="102" t="n">
        <v>0.00950686548102396</v>
      </c>
      <c r="H77" s="102" t="n">
        <v>-0.00301199204466636</v>
      </c>
      <c r="I77" s="102" t="n">
        <v>-0.00351628522478075</v>
      </c>
      <c r="J77" s="102" t="n">
        <v>0.004179719661222</v>
      </c>
      <c r="K77" s="102" t="n">
        <v>0.00472277563131311</v>
      </c>
      <c r="L77" s="102" t="n">
        <v>0.00300553403990022</v>
      </c>
      <c r="M77" s="102" t="n">
        <v>-0.00479059601029602</v>
      </c>
      <c r="N77" s="102" t="n">
        <v>0.00296527639568195</v>
      </c>
    </row>
    <row r="78" customFormat="false" ht="15" hidden="false" customHeight="false" outlineLevel="0" collapsed="false">
      <c r="A78" s="5" t="s">
        <v>406</v>
      </c>
      <c r="B78" s="102" t="n">
        <v>0.278214961538462</v>
      </c>
      <c r="C78" s="102" t="n">
        <v>0.270774928414965</v>
      </c>
      <c r="D78" s="102" t="n">
        <v>0.28825282905297</v>
      </c>
      <c r="E78" s="102" t="n">
        <v>0.282923733816582</v>
      </c>
      <c r="F78" s="102" t="n">
        <v>0.27853301376503</v>
      </c>
      <c r="G78" s="102" t="n">
        <v>0.274362489749391</v>
      </c>
      <c r="H78" s="102" t="n">
        <v>0.287081351341364</v>
      </c>
      <c r="I78" s="102" t="n">
        <v>0.287386076891447</v>
      </c>
      <c r="J78" s="102" t="n">
        <v>0.279557727404719</v>
      </c>
      <c r="K78" s="102" t="n">
        <v>0.279090355681818</v>
      </c>
      <c r="L78" s="102" t="n">
        <v>0.280784989650873</v>
      </c>
      <c r="M78" s="102" t="n">
        <v>0.286962112870013</v>
      </c>
      <c r="N78" s="102" t="n">
        <v>0.280976960675952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13"/>
  </cols>
  <sheetData>
    <row r="1" customFormat="false" ht="17.15" hidden="false" customHeight="false" outlineLevel="0" collapsed="false">
      <c r="A1" s="100" t="s">
        <v>407</v>
      </c>
    </row>
    <row r="2" customFormat="false" ht="15" hidden="false" customHeight="false" outlineLevel="0" collapsed="false">
      <c r="A2" s="14" t="s">
        <v>408</v>
      </c>
    </row>
    <row r="3" customFormat="false" ht="15" hidden="false" customHeight="false" outlineLevel="0" collapsed="false">
      <c r="A3" s="27" t="s">
        <v>315</v>
      </c>
      <c r="B3" s="26" t="s">
        <v>316</v>
      </c>
      <c r="C3" s="26" t="s">
        <v>317</v>
      </c>
      <c r="D3" s="26" t="s">
        <v>318</v>
      </c>
      <c r="E3" s="26" t="s">
        <v>409</v>
      </c>
    </row>
    <row r="4" customFormat="false" ht="15" hidden="false" customHeight="false" outlineLevel="0" collapsed="false">
      <c r="A4" s="5" t="s">
        <v>323</v>
      </c>
      <c r="B4" s="101" t="n">
        <v>859016.86</v>
      </c>
      <c r="C4" s="101" t="n">
        <v>980922.579</v>
      </c>
      <c r="D4" s="101" t="n">
        <v>810842.501</v>
      </c>
      <c r="E4" s="103" t="n">
        <f aca="false">SUM(B4:D4)</f>
        <v>2650781.94</v>
      </c>
    </row>
    <row r="5" customFormat="false" ht="15" hidden="false" customHeight="false" outlineLevel="0" collapsed="false">
      <c r="A5" s="5" t="s">
        <v>324</v>
      </c>
      <c r="B5" s="101" t="n">
        <v>243490.299333702</v>
      </c>
      <c r="C5" s="101" t="n">
        <v>282030.255474603</v>
      </c>
      <c r="D5" s="101" t="n">
        <v>246956.759713984</v>
      </c>
      <c r="E5" s="103" t="n">
        <f aca="false">SUM(B5:D5)</f>
        <v>772477.314522289</v>
      </c>
    </row>
    <row r="6" customFormat="false" ht="15" hidden="false" customHeight="false" outlineLevel="0" collapsed="false">
      <c r="A6" s="5" t="s">
        <v>325</v>
      </c>
      <c r="B6" s="102" t="n">
        <v>0.283452293746251</v>
      </c>
      <c r="C6" s="102" t="n">
        <v>0.287515306011324</v>
      </c>
      <c r="D6" s="102" t="n">
        <v>0.304568099735048</v>
      </c>
    </row>
    <row r="7" customFormat="false" ht="15" hidden="true" customHeight="false" outlineLevel="1" collapsed="false">
      <c r="A7" s="5" t="s">
        <v>326</v>
      </c>
      <c r="B7" s="101" t="n">
        <v>856552.097</v>
      </c>
      <c r="C7" s="101" t="n">
        <v>978185.97</v>
      </c>
      <c r="D7" s="101" t="n">
        <v>808524.623</v>
      </c>
      <c r="E7" s="103" t="n">
        <f aca="false">SUM(B7:D7)</f>
        <v>2643262.69</v>
      </c>
    </row>
    <row r="8" customFormat="false" ht="15" hidden="true" customHeight="false" outlineLevel="1" collapsed="false">
      <c r="A8" s="5" t="s">
        <v>327</v>
      </c>
      <c r="B8" s="101" t="n">
        <v>231367.23593</v>
      </c>
      <c r="C8" s="101" t="n">
        <v>268948.58745</v>
      </c>
      <c r="D8" s="101" t="n">
        <v>235658.63036</v>
      </c>
      <c r="E8" s="103" t="n">
        <f aca="false">SUM(B8:D8)</f>
        <v>735974.45374</v>
      </c>
    </row>
    <row r="9" customFormat="false" ht="15" hidden="true" customHeight="false" outlineLevel="1" collapsed="false">
      <c r="A9" s="5" t="s">
        <v>328</v>
      </c>
      <c r="B9" s="102" t="n">
        <v>0.270114610355101</v>
      </c>
      <c r="C9" s="102" t="n">
        <v>0.274946273713167</v>
      </c>
      <c r="D9" s="102" t="n">
        <v>0.29146747502333</v>
      </c>
    </row>
    <row r="10" customFormat="false" ht="15" hidden="true" customHeight="false" outlineLevel="1" collapsed="false">
      <c r="A10" s="5" t="s">
        <v>329</v>
      </c>
      <c r="B10" s="101" t="n">
        <v>2464.763</v>
      </c>
      <c r="C10" s="101" t="n">
        <v>2736.609</v>
      </c>
      <c r="D10" s="101" t="n">
        <v>2317.878</v>
      </c>
      <c r="E10" s="103" t="n">
        <f aca="false">SUM(B10:D10)</f>
        <v>7519.25</v>
      </c>
    </row>
    <row r="11" customFormat="false" ht="15" hidden="true" customHeight="false" outlineLevel="1" collapsed="false">
      <c r="A11" s="5" t="s">
        <v>330</v>
      </c>
      <c r="B11" s="101" t="n">
        <v>2464.763</v>
      </c>
      <c r="C11" s="101" t="n">
        <v>2736.609</v>
      </c>
      <c r="D11" s="101" t="n">
        <v>2317.878</v>
      </c>
      <c r="E11" s="103" t="n">
        <f aca="false">SUM(B11:D11)</f>
        <v>7519.25</v>
      </c>
    </row>
    <row r="12" customFormat="false" ht="15" hidden="true" customHeight="false" outlineLevel="1" collapsed="false">
      <c r="A12" s="5" t="s">
        <v>328</v>
      </c>
      <c r="B12" s="102" t="n">
        <v>1</v>
      </c>
      <c r="C12" s="102" t="n">
        <v>1</v>
      </c>
      <c r="D12" s="102" t="n">
        <v>1</v>
      </c>
    </row>
    <row r="13" customFormat="false" ht="15" hidden="true" customHeight="false" outlineLevel="1" collapsed="false">
      <c r="A13" s="5" t="s">
        <v>331</v>
      </c>
      <c r="B13" s="101" t="n">
        <v>0</v>
      </c>
      <c r="C13" s="101" t="n">
        <v>0</v>
      </c>
      <c r="D13" s="101" t="n">
        <v>0</v>
      </c>
      <c r="E13" s="103" t="n">
        <f aca="false">SUM(B13:D13)</f>
        <v>0</v>
      </c>
    </row>
    <row r="14" customFormat="false" ht="15" hidden="true" customHeight="false" outlineLevel="1" collapsed="false">
      <c r="A14" s="5" t="s">
        <v>332</v>
      </c>
      <c r="B14" s="101" t="n">
        <v>0</v>
      </c>
      <c r="C14" s="101" t="n">
        <v>0</v>
      </c>
      <c r="D14" s="101" t="n">
        <v>0</v>
      </c>
      <c r="E14" s="103" t="n">
        <f aca="false">SUM(B14:D14)</f>
        <v>0</v>
      </c>
    </row>
    <row r="15" customFormat="false" ht="15" hidden="true" customHeight="false" outlineLevel="1" collapsed="false">
      <c r="A15" s="5" t="s">
        <v>328</v>
      </c>
      <c r="B15" s="102" t="n">
        <v>0</v>
      </c>
      <c r="C15" s="102" t="n">
        <v>0</v>
      </c>
      <c r="D15" s="102" t="n">
        <v>0</v>
      </c>
    </row>
    <row r="16" customFormat="false" ht="15" hidden="true" customHeight="false" outlineLevel="1" collapsed="false">
      <c r="A16" s="5" t="s">
        <v>333</v>
      </c>
      <c r="B16" s="101" t="n">
        <v>0</v>
      </c>
      <c r="C16" s="101" t="n">
        <v>0</v>
      </c>
      <c r="D16" s="101" t="n">
        <v>0</v>
      </c>
      <c r="E16" s="103" t="n">
        <f aca="false">SUM(B16:D16)</f>
        <v>0</v>
      </c>
    </row>
    <row r="17" customFormat="false" ht="15" hidden="true" customHeight="false" outlineLevel="1" collapsed="false">
      <c r="A17" s="5" t="s">
        <v>334</v>
      </c>
      <c r="B17" s="101" t="n">
        <v>9658.30040370242</v>
      </c>
      <c r="C17" s="101" t="n">
        <v>10345.0590246025</v>
      </c>
      <c r="D17" s="101" t="n">
        <v>8980.25135398415</v>
      </c>
      <c r="E17" s="103" t="n">
        <f aca="false">SUM(B17:D17)</f>
        <v>28983.6107822891</v>
      </c>
    </row>
    <row r="18" customFormat="false" ht="15" hidden="true" customHeight="false" outlineLevel="1" collapsed="false">
      <c r="A18" s="5" t="s">
        <v>328</v>
      </c>
      <c r="B18" s="102" t="n">
        <v>0</v>
      </c>
      <c r="C18" s="102" t="n">
        <v>0</v>
      </c>
      <c r="D18" s="102" t="n">
        <v>0</v>
      </c>
    </row>
    <row r="19" customFormat="false" ht="15" hidden="false" customHeight="false" outlineLevel="0" collapsed="false">
      <c r="A19" s="5" t="s">
        <v>335</v>
      </c>
      <c r="B19" s="101" t="n">
        <v>159123.951333333</v>
      </c>
      <c r="C19" s="101" t="n">
        <v>163148.189772727</v>
      </c>
      <c r="D19" s="101" t="n">
        <v>164121.689</v>
      </c>
      <c r="E19" s="103" t="n">
        <f aca="false">SUM(B19:D19)</f>
        <v>486393.830106061</v>
      </c>
    </row>
    <row r="20" customFormat="false" ht="15" hidden="false" customHeight="false" outlineLevel="1" collapsed="false">
      <c r="A20" s="5" t="s">
        <v>336</v>
      </c>
      <c r="B20" s="101" t="n">
        <v>103680.972</v>
      </c>
      <c r="C20" s="101" t="n">
        <v>118115.4015</v>
      </c>
      <c r="D20" s="101" t="n">
        <v>112717.346</v>
      </c>
      <c r="E20" s="103" t="n">
        <f aca="false">SUM(B20:D20)</f>
        <v>334513.7195</v>
      </c>
    </row>
    <row r="21" customFormat="false" ht="15" hidden="false" customHeight="false" outlineLevel="1" collapsed="false">
      <c r="A21" s="5" t="s">
        <v>337</v>
      </c>
      <c r="B21" s="101" t="n">
        <v>0</v>
      </c>
      <c r="C21" s="101" t="n">
        <v>0</v>
      </c>
      <c r="D21" s="101" t="n">
        <v>0</v>
      </c>
      <c r="E21" s="103" t="n">
        <f aca="false">SUM(B21:D21)</f>
        <v>0</v>
      </c>
    </row>
    <row r="22" customFormat="false" ht="15" hidden="false" customHeight="false" outlineLevel="1" collapsed="false">
      <c r="A22" s="5" t="s">
        <v>410</v>
      </c>
      <c r="B22" s="101" t="n">
        <v>19396.332</v>
      </c>
      <c r="C22" s="101" t="n">
        <v>19221.482</v>
      </c>
      <c r="D22" s="101" t="n">
        <v>17675.614</v>
      </c>
      <c r="E22" s="103" t="n">
        <f aca="false">SUM(B22:D22)</f>
        <v>56293.428</v>
      </c>
    </row>
    <row r="23" customFormat="false" ht="15" hidden="false" customHeight="false" outlineLevel="1" collapsed="false">
      <c r="A23" s="5" t="s">
        <v>339</v>
      </c>
      <c r="B23" s="101" t="n">
        <v>9197.121</v>
      </c>
      <c r="C23" s="101" t="n">
        <v>-1271.735</v>
      </c>
      <c r="D23" s="101" t="n">
        <v>5864.168</v>
      </c>
      <c r="E23" s="103" t="n">
        <f aca="false">SUM(B23:D23)</f>
        <v>13789.554</v>
      </c>
    </row>
    <row r="24" customFormat="false" ht="15" hidden="false" customHeight="false" outlineLevel="1" collapsed="false">
      <c r="A24" s="5" t="s">
        <v>411</v>
      </c>
      <c r="B24" s="101" t="n">
        <v>5160</v>
      </c>
      <c r="C24" s="101" t="n">
        <v>5160</v>
      </c>
      <c r="D24" s="101" t="n">
        <v>5160</v>
      </c>
      <c r="E24" s="103" t="n">
        <f aca="false">SUM(B24:D24)</f>
        <v>15480</v>
      </c>
    </row>
    <row r="25" customFormat="false" ht="15" hidden="false" customHeight="false" outlineLevel="1" collapsed="false">
      <c r="A25" s="5" t="s">
        <v>341</v>
      </c>
      <c r="B25" s="101" t="n">
        <v>19189.69</v>
      </c>
      <c r="C25" s="101" t="n">
        <v>19595.3682727273</v>
      </c>
      <c r="D25" s="101" t="n">
        <v>19894.275</v>
      </c>
      <c r="E25" s="103" t="n">
        <f aca="false">SUM(B25:D25)</f>
        <v>58679.3332727273</v>
      </c>
    </row>
    <row r="26" customFormat="false" ht="15" hidden="false" customHeight="false" outlineLevel="1" collapsed="false">
      <c r="A26" s="5" t="s">
        <v>342</v>
      </c>
      <c r="B26" s="101" t="n">
        <v>2499.83633333333</v>
      </c>
      <c r="C26" s="101" t="n">
        <v>2327.673</v>
      </c>
      <c r="D26" s="101" t="n">
        <v>2810.286</v>
      </c>
      <c r="E26" s="103" t="n">
        <f aca="false">SUM(B26:D26)</f>
        <v>7637.79533333333</v>
      </c>
    </row>
    <row r="27" customFormat="false" ht="15" hidden="false" customHeight="false" outlineLevel="1" collapsed="false">
      <c r="A27" s="5" t="s">
        <v>343</v>
      </c>
      <c r="B27" s="101" t="n">
        <v>0</v>
      </c>
      <c r="C27" s="101" t="n">
        <v>0</v>
      </c>
      <c r="D27" s="101" t="n">
        <v>0</v>
      </c>
      <c r="E27" s="103" t="n">
        <f aca="false">SUM(B27:D27)</f>
        <v>0</v>
      </c>
    </row>
    <row r="28" customFormat="false" ht="15" hidden="false" customHeight="false" outlineLevel="1" collapsed="false">
      <c r="A28" s="5" t="s">
        <v>344</v>
      </c>
      <c r="B28" s="101" t="n">
        <v>0</v>
      </c>
      <c r="C28" s="101" t="n">
        <v>0</v>
      </c>
      <c r="D28" s="101" t="n">
        <v>0</v>
      </c>
      <c r="E28" s="103" t="n">
        <f aca="false">SUM(B28:D28)</f>
        <v>0</v>
      </c>
    </row>
    <row r="29" customFormat="false" ht="15" hidden="false" customHeight="false" outlineLevel="0" collapsed="false">
      <c r="A29" s="5" t="s">
        <v>345</v>
      </c>
      <c r="B29" s="101" t="n">
        <v>0</v>
      </c>
      <c r="C29" s="101" t="n">
        <v>0</v>
      </c>
      <c r="D29" s="101" t="n">
        <v>0</v>
      </c>
      <c r="E29" s="103" t="n">
        <f aca="false">SUM(B29:D29)</f>
        <v>0</v>
      </c>
    </row>
    <row r="30" customFormat="false" ht="15" hidden="false" customHeight="false" outlineLevel="1" collapsed="false">
      <c r="A30" s="5" t="s">
        <v>346</v>
      </c>
      <c r="B30" s="101" t="n">
        <v>0</v>
      </c>
      <c r="C30" s="101" t="n">
        <v>0</v>
      </c>
      <c r="D30" s="101" t="n">
        <v>0</v>
      </c>
      <c r="E30" s="103" t="n">
        <f aca="false">SUM(B30:D30)</f>
        <v>0</v>
      </c>
    </row>
    <row r="31" customFormat="false" ht="15" hidden="false" customHeight="false" outlineLevel="1" collapsed="false">
      <c r="A31" s="5" t="s">
        <v>347</v>
      </c>
      <c r="B31" s="101" t="n">
        <v>0</v>
      </c>
      <c r="C31" s="101" t="n">
        <v>0</v>
      </c>
      <c r="D31" s="101" t="n">
        <v>0</v>
      </c>
      <c r="E31" s="103" t="n">
        <f aca="false">SUM(B31:D31)</f>
        <v>0</v>
      </c>
    </row>
    <row r="32" customFormat="false" ht="15" hidden="false" customHeight="false" outlineLevel="0" collapsed="false">
      <c r="A32" s="5" t="s">
        <v>348</v>
      </c>
      <c r="B32" s="101" t="n">
        <v>4654.458</v>
      </c>
      <c r="C32" s="101" t="n">
        <v>4650.976</v>
      </c>
      <c r="D32" s="101" t="n">
        <v>4649.648</v>
      </c>
      <c r="E32" s="103" t="n">
        <f aca="false">SUM(B32:D32)</f>
        <v>13955.082</v>
      </c>
    </row>
    <row r="33" customFormat="false" ht="15" hidden="false" customHeight="false" outlineLevel="1" collapsed="false">
      <c r="A33" s="5" t="s">
        <v>412</v>
      </c>
      <c r="B33" s="101" t="n">
        <v>0</v>
      </c>
      <c r="C33" s="101" t="n">
        <v>0</v>
      </c>
      <c r="D33" s="101" t="n">
        <v>0</v>
      </c>
      <c r="E33" s="103" t="n">
        <f aca="false">SUM(B33:D33)</f>
        <v>0</v>
      </c>
    </row>
    <row r="34" customFormat="false" ht="15" hidden="false" customHeight="false" outlineLevel="1" collapsed="false">
      <c r="A34" s="5" t="s">
        <v>350</v>
      </c>
      <c r="B34" s="101" t="n">
        <v>3216.858</v>
      </c>
      <c r="C34" s="101" t="n">
        <v>3213.376</v>
      </c>
      <c r="D34" s="101" t="n">
        <v>3212.048</v>
      </c>
      <c r="E34" s="103" t="n">
        <f aca="false">SUM(B34:D34)</f>
        <v>9642.282</v>
      </c>
    </row>
    <row r="35" customFormat="false" ht="15" hidden="false" customHeight="false" outlineLevel="1" collapsed="false">
      <c r="A35" s="5" t="s">
        <v>413</v>
      </c>
      <c r="B35" s="101" t="n">
        <v>1437.6</v>
      </c>
      <c r="C35" s="101" t="n">
        <v>1437.6</v>
      </c>
      <c r="D35" s="101" t="n">
        <v>1437.6</v>
      </c>
      <c r="E35" s="103" t="n">
        <f aca="false">SUM(B35:D35)</f>
        <v>4312.8</v>
      </c>
    </row>
    <row r="36" customFormat="false" ht="15" hidden="false" customHeight="false" outlineLevel="0" collapsed="false">
      <c r="A36" s="5" t="s">
        <v>352</v>
      </c>
      <c r="B36" s="101" t="n">
        <v>101198.778196667</v>
      </c>
      <c r="C36" s="101" t="n">
        <v>92637.1607233334</v>
      </c>
      <c r="D36" s="101" t="n">
        <v>79802.7758674978</v>
      </c>
      <c r="E36" s="103" t="n">
        <f aca="false">SUM(B36:D36)</f>
        <v>273638.714787498</v>
      </c>
    </row>
    <row r="37" customFormat="false" ht="15" hidden="false" customHeight="false" outlineLevel="1" collapsed="false">
      <c r="A37" s="5" t="s">
        <v>353</v>
      </c>
      <c r="B37" s="101" t="n">
        <v>16456.42208</v>
      </c>
      <c r="C37" s="101" t="n">
        <v>8596.93692</v>
      </c>
      <c r="D37" s="101" t="n">
        <v>4820.79764</v>
      </c>
      <c r="E37" s="103" t="n">
        <f aca="false">SUM(B37:D37)</f>
        <v>29874.15664</v>
      </c>
    </row>
    <row r="38" customFormat="false" ht="15" hidden="false" customHeight="false" outlineLevel="1" collapsed="false">
      <c r="A38" s="5" t="s">
        <v>354</v>
      </c>
      <c r="B38" s="101" t="n">
        <v>0</v>
      </c>
      <c r="C38" s="101" t="n">
        <v>0</v>
      </c>
      <c r="D38" s="101" t="n">
        <v>0</v>
      </c>
      <c r="E38" s="103" t="n">
        <f aca="false">SUM(B38:D38)</f>
        <v>0</v>
      </c>
    </row>
    <row r="39" customFormat="false" ht="15" hidden="false" customHeight="false" outlineLevel="1" collapsed="false">
      <c r="A39" s="5" t="s">
        <v>355</v>
      </c>
      <c r="B39" s="101" t="n">
        <v>250.3</v>
      </c>
      <c r="C39" s="101" t="n">
        <v>964.2</v>
      </c>
      <c r="D39" s="101" t="n">
        <v>2554.4</v>
      </c>
      <c r="E39" s="103" t="n">
        <f aca="false">SUM(B39:D39)</f>
        <v>3768.9</v>
      </c>
    </row>
    <row r="40" customFormat="false" ht="15" hidden="false" customHeight="false" outlineLevel="1" collapsed="false">
      <c r="A40" s="5" t="s">
        <v>356</v>
      </c>
      <c r="B40" s="101" t="n">
        <v>370.75533333333</v>
      </c>
      <c r="C40" s="101" t="n">
        <v>324.74966666667</v>
      </c>
      <c r="D40" s="101" t="n">
        <v>361.24966666667</v>
      </c>
      <c r="E40" s="103" t="n">
        <f aca="false">SUM(B40:D40)</f>
        <v>1056.75466666667</v>
      </c>
    </row>
    <row r="41" customFormat="false" ht="15" hidden="false" customHeight="false" outlineLevel="1" collapsed="false">
      <c r="A41" s="5" t="s">
        <v>357</v>
      </c>
      <c r="B41" s="101" t="n">
        <v>0</v>
      </c>
      <c r="C41" s="101" t="n">
        <v>0</v>
      </c>
      <c r="D41" s="101" t="n">
        <v>0</v>
      </c>
      <c r="E41" s="103" t="n">
        <f aca="false">SUM(B41:D41)</f>
        <v>0</v>
      </c>
    </row>
    <row r="42" customFormat="false" ht="15" hidden="false" customHeight="false" outlineLevel="1" collapsed="false">
      <c r="A42" s="5" t="s">
        <v>358</v>
      </c>
      <c r="B42" s="101" t="n">
        <v>1.44</v>
      </c>
      <c r="C42" s="101" t="n">
        <v>9.433</v>
      </c>
      <c r="D42" s="101" t="n">
        <v>54.403</v>
      </c>
      <c r="E42" s="103" t="n">
        <f aca="false">SUM(B42:D42)</f>
        <v>65.276</v>
      </c>
    </row>
    <row r="43" customFormat="false" ht="15" hidden="false" customHeight="false" outlineLevel="1" collapsed="false">
      <c r="A43" s="5" t="s">
        <v>359</v>
      </c>
      <c r="B43" s="101" t="n">
        <v>240.71333333333</v>
      </c>
      <c r="C43" s="101" t="n">
        <v>122.218</v>
      </c>
      <c r="D43" s="101" t="n">
        <v>115.669</v>
      </c>
      <c r="E43" s="103" t="n">
        <f aca="false">SUM(B43:D43)</f>
        <v>478.60033333333</v>
      </c>
    </row>
    <row r="44" customFormat="false" ht="15" hidden="false" customHeight="false" outlineLevel="1" collapsed="false">
      <c r="A44" s="5" t="s">
        <v>360</v>
      </c>
      <c r="B44" s="101" t="n">
        <v>14038.49745</v>
      </c>
      <c r="C44" s="101" t="n">
        <v>12075.49947</v>
      </c>
      <c r="D44" s="101" t="n">
        <v>13733.26034</v>
      </c>
      <c r="E44" s="103" t="n">
        <f aca="false">SUM(B44:D44)</f>
        <v>39847.25726</v>
      </c>
    </row>
    <row r="45" customFormat="false" ht="15" hidden="false" customHeight="false" outlineLevel="1" collapsed="false">
      <c r="A45" s="5" t="s">
        <v>361</v>
      </c>
      <c r="B45" s="101" t="n">
        <v>0</v>
      </c>
      <c r="C45" s="101" t="n">
        <v>0</v>
      </c>
      <c r="D45" s="101" t="n">
        <v>0</v>
      </c>
      <c r="E45" s="103" t="n">
        <f aca="false">SUM(B45:D45)</f>
        <v>0</v>
      </c>
    </row>
    <row r="46" customFormat="false" ht="15" hidden="false" customHeight="false" outlineLevel="1" collapsed="false">
      <c r="A46" s="5" t="s">
        <v>414</v>
      </c>
      <c r="B46" s="101" t="n">
        <v>48160.854</v>
      </c>
      <c r="C46" s="101" t="n">
        <v>46164.248</v>
      </c>
      <c r="D46" s="101" t="n">
        <v>43385.6145541644</v>
      </c>
      <c r="E46" s="103" t="n">
        <f aca="false">SUM(B46:D46)</f>
        <v>137710.716554164</v>
      </c>
    </row>
    <row r="47" customFormat="false" ht="15" hidden="false" customHeight="false" outlineLevel="1" collapsed="false">
      <c r="A47" s="5" t="s">
        <v>415</v>
      </c>
      <c r="B47" s="101" t="n">
        <v>0</v>
      </c>
      <c r="C47" s="101" t="n">
        <v>0</v>
      </c>
      <c r="D47" s="101" t="n">
        <v>0</v>
      </c>
      <c r="E47" s="103" t="n">
        <f aca="false">SUM(B47:D47)</f>
        <v>0</v>
      </c>
    </row>
    <row r="48" customFormat="false" ht="15" hidden="false" customHeight="false" outlineLevel="1" collapsed="false">
      <c r="A48" s="5" t="s">
        <v>416</v>
      </c>
      <c r="B48" s="101" t="n">
        <v>0</v>
      </c>
      <c r="C48" s="101" t="n">
        <v>0</v>
      </c>
      <c r="D48" s="101" t="n">
        <v>0</v>
      </c>
      <c r="E48" s="103" t="n">
        <f aca="false">SUM(B48:D48)</f>
        <v>0</v>
      </c>
    </row>
    <row r="49" customFormat="false" ht="15" hidden="false" customHeight="false" outlineLevel="1" collapsed="false">
      <c r="A49" s="5" t="s">
        <v>365</v>
      </c>
      <c r="B49" s="101" t="n">
        <v>7878.869</v>
      </c>
      <c r="C49" s="101" t="n">
        <v>7542.759</v>
      </c>
      <c r="D49" s="101" t="n">
        <v>8222.931</v>
      </c>
      <c r="E49" s="103" t="n">
        <f aca="false">SUM(B49:D49)</f>
        <v>23644.559</v>
      </c>
    </row>
    <row r="50" customFormat="false" ht="15" hidden="false" customHeight="false" outlineLevel="1" collapsed="false">
      <c r="A50" s="5" t="s">
        <v>366</v>
      </c>
      <c r="B50" s="101" t="n">
        <v>0</v>
      </c>
      <c r="C50" s="101" t="n">
        <v>0</v>
      </c>
      <c r="D50" s="101" t="n">
        <v>0</v>
      </c>
      <c r="E50" s="103" t="n">
        <f aca="false">SUM(B50:D50)</f>
        <v>0</v>
      </c>
    </row>
    <row r="51" customFormat="false" ht="15" hidden="false" customHeight="false" outlineLevel="1" collapsed="false">
      <c r="A51" s="5" t="s">
        <v>367</v>
      </c>
      <c r="B51" s="101" t="n">
        <v>0</v>
      </c>
      <c r="C51" s="101" t="n">
        <v>0</v>
      </c>
      <c r="D51" s="101" t="n">
        <v>0</v>
      </c>
      <c r="E51" s="103" t="n">
        <f aca="false">SUM(B51:D51)</f>
        <v>0</v>
      </c>
    </row>
    <row r="52" customFormat="false" ht="15" hidden="false" customHeight="false" outlineLevel="1" collapsed="false">
      <c r="A52" s="5" t="s">
        <v>368</v>
      </c>
      <c r="B52" s="101" t="n">
        <v>1059.403</v>
      </c>
      <c r="C52" s="101" t="n">
        <v>1061.529</v>
      </c>
      <c r="D52" s="101" t="n">
        <v>1062.592</v>
      </c>
      <c r="E52" s="103" t="n">
        <f aca="false">SUM(B52:D52)</f>
        <v>3183.524</v>
      </c>
    </row>
    <row r="53" customFormat="false" ht="15" hidden="false" customHeight="false" outlineLevel="1" collapsed="false">
      <c r="A53" s="5" t="s">
        <v>369</v>
      </c>
      <c r="B53" s="101" t="n">
        <v>0</v>
      </c>
      <c r="C53" s="101" t="n">
        <v>0</v>
      </c>
      <c r="D53" s="101" t="n">
        <v>0</v>
      </c>
      <c r="E53" s="103" t="n">
        <f aca="false">SUM(B53:D53)</f>
        <v>0</v>
      </c>
    </row>
    <row r="54" customFormat="false" ht="15" hidden="false" customHeight="false" outlineLevel="1" collapsed="false">
      <c r="A54" s="5" t="s">
        <v>417</v>
      </c>
      <c r="B54" s="101" t="n">
        <v>0</v>
      </c>
      <c r="C54" s="101" t="n">
        <v>0</v>
      </c>
      <c r="D54" s="101" t="n">
        <v>0</v>
      </c>
      <c r="E54" s="103" t="n">
        <f aca="false">SUM(B54:D54)</f>
        <v>0</v>
      </c>
    </row>
    <row r="55" customFormat="false" ht="15" hidden="false" customHeight="false" outlineLevel="1" collapsed="false">
      <c r="A55" s="5" t="s">
        <v>371</v>
      </c>
      <c r="B55" s="101" t="n">
        <v>7403.246</v>
      </c>
      <c r="C55" s="101" t="n">
        <v>7403.24</v>
      </c>
      <c r="D55" s="101" t="n">
        <v>7403.251</v>
      </c>
      <c r="E55" s="103" t="n">
        <f aca="false">SUM(B55:D55)</f>
        <v>22209.737</v>
      </c>
    </row>
    <row r="56" customFormat="false" ht="15" hidden="false" customHeight="false" outlineLevel="1" collapsed="false">
      <c r="A56" s="5" t="s">
        <v>372</v>
      </c>
      <c r="B56" s="101" t="n">
        <v>2135.419</v>
      </c>
      <c r="C56" s="101" t="n">
        <v>5352.73866666667</v>
      </c>
      <c r="D56" s="101" t="n">
        <v>1958.16266666667</v>
      </c>
      <c r="E56" s="103" t="n">
        <f aca="false">SUM(B56:D56)</f>
        <v>9446.32033333334</v>
      </c>
    </row>
    <row r="57" customFormat="false" ht="15" hidden="false" customHeight="false" outlineLevel="1" collapsed="false">
      <c r="A57" s="5" t="s">
        <v>418</v>
      </c>
      <c r="B57" s="101" t="n">
        <v>3202.859</v>
      </c>
      <c r="C57" s="101" t="n">
        <v>3019.609</v>
      </c>
      <c r="D57" s="101" t="n">
        <v>-3869.555</v>
      </c>
      <c r="E57" s="103" t="n">
        <f aca="false">SUM(B57:D57)</f>
        <v>2352.913</v>
      </c>
    </row>
    <row r="58" customFormat="false" ht="15" hidden="false" customHeight="false" outlineLevel="0" collapsed="false">
      <c r="A58" s="5" t="s">
        <v>374</v>
      </c>
      <c r="B58" s="101" t="n">
        <v>264977.18753</v>
      </c>
      <c r="C58" s="101" t="n">
        <v>260436.326496061</v>
      </c>
      <c r="D58" s="101" t="n">
        <v>248574.112867498</v>
      </c>
      <c r="E58" s="103" t="n">
        <f aca="false">SUM(B58:D58)</f>
        <v>773987.626893558</v>
      </c>
    </row>
    <row r="59" customFormat="false" ht="15" hidden="false" customHeight="false" outlineLevel="0" collapsed="false">
      <c r="A59" s="5" t="s">
        <v>375</v>
      </c>
      <c r="B59" s="101" t="n">
        <v>0</v>
      </c>
      <c r="C59" s="101" t="n">
        <v>0</v>
      </c>
      <c r="D59" s="101" t="n">
        <v>0</v>
      </c>
      <c r="E59" s="103" t="n">
        <f aca="false">SUM(B59:D59)</f>
        <v>0</v>
      </c>
    </row>
    <row r="60" customFormat="false" ht="15" hidden="false" customHeight="false" outlineLevel="0" collapsed="false">
      <c r="A60" s="5" t="s">
        <v>376</v>
      </c>
      <c r="B60" s="101" t="n">
        <v>-21486.8881962976</v>
      </c>
      <c r="C60" s="101" t="n">
        <v>21593.9289785419</v>
      </c>
      <c r="D60" s="101" t="n">
        <v>-1617.35315351357</v>
      </c>
      <c r="E60" s="103" t="n">
        <f aca="false">SUM(B60:D60)</f>
        <v>-1510.31237126927</v>
      </c>
    </row>
    <row r="61" customFormat="false" ht="15" hidden="false" customHeight="false" outlineLevel="1" collapsed="false">
      <c r="A61" s="5" t="s">
        <v>377</v>
      </c>
      <c r="B61" s="101" t="n">
        <v>0.058</v>
      </c>
      <c r="C61" s="101" t="n">
        <v>15.82</v>
      </c>
      <c r="D61" s="101" t="n">
        <v>0</v>
      </c>
      <c r="E61" s="103" t="n">
        <f aca="false">SUM(B61:D61)</f>
        <v>15.878</v>
      </c>
    </row>
    <row r="62" customFormat="false" ht="15" hidden="false" customHeight="false" outlineLevel="1" collapsed="false">
      <c r="A62" s="5" t="s">
        <v>378</v>
      </c>
      <c r="B62" s="101" t="n">
        <v>0</v>
      </c>
      <c r="C62" s="101" t="n">
        <v>0</v>
      </c>
      <c r="D62" s="101" t="n">
        <v>0</v>
      </c>
      <c r="E62" s="103" t="n">
        <f aca="false">SUM(B62:D62)</f>
        <v>0</v>
      </c>
    </row>
    <row r="63" customFormat="false" ht="15" hidden="false" customHeight="false" outlineLevel="1" collapsed="false">
      <c r="A63" s="5" t="s">
        <v>379</v>
      </c>
      <c r="B63" s="101" t="n">
        <v>0</v>
      </c>
      <c r="C63" s="101" t="n">
        <v>0</v>
      </c>
      <c r="D63" s="101" t="n">
        <v>0</v>
      </c>
      <c r="E63" s="103" t="n">
        <f aca="false">SUM(B63:D63)</f>
        <v>0</v>
      </c>
    </row>
    <row r="64" customFormat="false" ht="15" hidden="false" customHeight="false" outlineLevel="1" collapsed="false">
      <c r="A64" s="5" t="s">
        <v>380</v>
      </c>
      <c r="B64" s="101" t="n">
        <v>0</v>
      </c>
      <c r="C64" s="101" t="n">
        <v>0</v>
      </c>
      <c r="D64" s="101" t="n">
        <v>0</v>
      </c>
      <c r="E64" s="103" t="n">
        <f aca="false">SUM(B64:D64)</f>
        <v>0</v>
      </c>
    </row>
    <row r="65" customFormat="false" ht="15" hidden="false" customHeight="false" outlineLevel="1" collapsed="false">
      <c r="A65" s="5" t="s">
        <v>419</v>
      </c>
      <c r="B65" s="101" t="n">
        <v>0</v>
      </c>
      <c r="C65" s="101" t="n">
        <v>0</v>
      </c>
      <c r="D65" s="101" t="n">
        <v>0</v>
      </c>
      <c r="E65" s="103" t="n">
        <f aca="false">SUM(B65:D65)</f>
        <v>0</v>
      </c>
    </row>
    <row r="66" customFormat="false" ht="15" hidden="false" customHeight="false" outlineLevel="0" collapsed="false">
      <c r="A66" s="5" t="s">
        <v>420</v>
      </c>
      <c r="B66" s="101" t="n">
        <v>-21486.8301962976</v>
      </c>
      <c r="C66" s="101" t="n">
        <v>21609.7489785419</v>
      </c>
      <c r="D66" s="101" t="n">
        <v>-1617.35315351357</v>
      </c>
      <c r="E66" s="103" t="n">
        <f aca="false">SUM(B66:D66)</f>
        <v>-1494.43437126927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10.51"/>
    <col collapsed="false" customWidth="true" hidden="false" outlineLevel="0" max="16" min="15" style="0" width="12"/>
    <col collapsed="false" customWidth="true" hidden="false" outlineLevel="0" max="17" min="17" style="0" width="40"/>
  </cols>
  <sheetData>
    <row r="1" customFormat="false" ht="19.4" hidden="false" customHeight="false" outlineLevel="0" collapsed="false">
      <c r="B1" s="64" t="s">
        <v>421</v>
      </c>
    </row>
    <row r="2" customFormat="false" ht="15" hidden="false" customHeight="false" outlineLevel="0" collapsed="false">
      <c r="B2" s="14" t="s">
        <v>422</v>
      </c>
    </row>
    <row r="4" customFormat="false" ht="30" hidden="false" customHeight="true" outlineLevel="0" collapsed="false">
      <c r="B4" s="27" t="s">
        <v>315</v>
      </c>
      <c r="C4" s="26" t="s">
        <v>316</v>
      </c>
      <c r="D4" s="26" t="s">
        <v>317</v>
      </c>
      <c r="E4" s="26" t="s">
        <v>318</v>
      </c>
      <c r="F4" s="26" t="s">
        <v>319</v>
      </c>
      <c r="G4" s="26" t="s">
        <v>320</v>
      </c>
      <c r="H4" s="26" t="s">
        <v>321</v>
      </c>
      <c r="I4" s="26" t="s">
        <v>39</v>
      </c>
      <c r="J4" s="26" t="s">
        <v>40</v>
      </c>
      <c r="K4" s="26" t="s">
        <v>41</v>
      </c>
      <c r="L4" s="26" t="s">
        <v>42</v>
      </c>
      <c r="M4" s="26" t="s">
        <v>43</v>
      </c>
      <c r="N4" s="26" t="s">
        <v>44</v>
      </c>
      <c r="O4" s="26" t="s">
        <v>322</v>
      </c>
      <c r="P4" s="27" t="s">
        <v>423</v>
      </c>
    </row>
    <row r="5" customFormat="false" ht="15" hidden="false" customHeight="false" outlineLevel="0" collapsed="false">
      <c r="B5" s="104" t="s">
        <v>424</v>
      </c>
      <c r="C5" s="105" t="n">
        <f aca="false">DATE(2026,7+0,1)</f>
        <v>46204</v>
      </c>
      <c r="D5" s="105" t="n">
        <f aca="false">DATE(2026,7+1,1)</f>
        <v>46235</v>
      </c>
      <c r="E5" s="105" t="n">
        <f aca="false">DATE(2026,7+2,1)</f>
        <v>46266</v>
      </c>
      <c r="F5" s="105" t="n">
        <f aca="false">DATE(2026,7+3,1)</f>
        <v>46296</v>
      </c>
      <c r="G5" s="105" t="n">
        <f aca="false">DATE(2026,7+4,1)</f>
        <v>46327</v>
      </c>
      <c r="H5" s="105" t="n">
        <f aca="false">DATE(2026,7+5,1)</f>
        <v>46357</v>
      </c>
      <c r="I5" s="105" t="n">
        <f aca="false">DATE(2026,7+6,1)</f>
        <v>46388</v>
      </c>
      <c r="J5" s="105" t="n">
        <f aca="false">DATE(2026,7+7,1)</f>
        <v>46419</v>
      </c>
      <c r="K5" s="105" t="n">
        <f aca="false">DATE(2026,7+8,1)</f>
        <v>46447</v>
      </c>
      <c r="L5" s="105" t="n">
        <f aca="false">DATE(2026,7+9,1)</f>
        <v>46478</v>
      </c>
      <c r="M5" s="105" t="n">
        <f aca="false">DATE(2026,7+10,1)</f>
        <v>46508</v>
      </c>
      <c r="N5" s="105" t="n">
        <f aca="false">DATE(2026,7+11,1)</f>
        <v>46539</v>
      </c>
    </row>
    <row r="7" customFormat="false" ht="15" hidden="false" customHeight="false" outlineLevel="0" collapsed="false">
      <c r="B7" s="21" t="s">
        <v>425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false" outlineLevel="0" collapsed="false">
      <c r="B8" s="12" t="s">
        <v>323</v>
      </c>
      <c r="C8" s="106" t="n">
        <f aca="false">予算原本_白鳥惣菜!B4</f>
        <v>787800</v>
      </c>
      <c r="D8" s="106" t="n">
        <f aca="false">予算原本_白鳥惣菜!C4</f>
        <v>836803.384</v>
      </c>
      <c r="E8" s="106" t="n">
        <f aca="false">予算原本_白鳥惣菜!D4</f>
        <v>747600</v>
      </c>
      <c r="F8" s="106" t="n">
        <f aca="false">予算原本_白鳥惣菜!E4</f>
        <v>772524.471</v>
      </c>
      <c r="G8" s="106" t="n">
        <f aca="false">予算原本_白鳥惣菜!F4</f>
        <v>750295.52</v>
      </c>
      <c r="H8" s="106" t="n">
        <f aca="false">予算原本_白鳥惣菜!G4</f>
        <v>847205.75</v>
      </c>
      <c r="I8" s="106" t="n">
        <f aca="false">予算原本_白鳥惣菜!H4</f>
        <v>770219.863</v>
      </c>
      <c r="J8" s="106" t="n">
        <f aca="false">予算原本_白鳥惣菜!I4</f>
        <v>729600</v>
      </c>
      <c r="K8" s="106" t="n">
        <f aca="false">予算原本_白鳥惣菜!J4</f>
        <v>826500</v>
      </c>
      <c r="L8" s="106" t="n">
        <f aca="false">予算原本_白鳥惣菜!K4</f>
        <v>792000</v>
      </c>
      <c r="M8" s="106" t="n">
        <f aca="false">予算原本_白鳥惣菜!L4</f>
        <v>802000</v>
      </c>
      <c r="N8" s="106" t="n">
        <f aca="false">予算原本_白鳥惣菜!M4</f>
        <v>777000</v>
      </c>
      <c r="O8" s="93" t="n">
        <f aca="false">SUM(C8:N8)</f>
        <v>9439548.988</v>
      </c>
      <c r="P8" s="93" t="n">
        <f aca="false">SUM(I8:N8)</f>
        <v>4697319.863</v>
      </c>
    </row>
    <row r="9" customFormat="false" ht="15" hidden="false" customHeight="false" outlineLevel="0" collapsed="false">
      <c r="B9" s="12" t="s">
        <v>324</v>
      </c>
      <c r="C9" s="106" t="n">
        <f aca="false">予算原本_白鳥惣菜!B5</f>
        <v>224170</v>
      </c>
      <c r="D9" s="106" t="n">
        <f aca="false">予算原本_白鳥惣菜!C5</f>
        <v>237991.384</v>
      </c>
      <c r="E9" s="106" t="n">
        <f aca="false">予算原本_白鳥惣菜!D5</f>
        <v>212690</v>
      </c>
      <c r="F9" s="106" t="n">
        <f aca="false">予算原本_白鳥惣菜!E5</f>
        <v>219664.471</v>
      </c>
      <c r="G9" s="106" t="n">
        <f aca="false">予算原本_白鳥惣菜!F5</f>
        <v>213231.52</v>
      </c>
      <c r="H9" s="106" t="n">
        <f aca="false">予算原本_白鳥惣菜!G5</f>
        <v>240495.75</v>
      </c>
      <c r="I9" s="106" t="n">
        <f aca="false">予算原本_白鳥惣菜!H5</f>
        <v>218795.863</v>
      </c>
      <c r="J9" s="106" t="n">
        <f aca="false">予算原本_白鳥惣菜!I5</f>
        <v>207111.4</v>
      </c>
      <c r="K9" s="106" t="n">
        <f aca="false">予算原本_白鳥惣菜!J5</f>
        <v>234509</v>
      </c>
      <c r="L9" s="106" t="n">
        <f aca="false">予算原本_白鳥惣菜!K5</f>
        <v>224780</v>
      </c>
      <c r="M9" s="106" t="n">
        <f aca="false">予算原本_白鳥惣菜!L5</f>
        <v>227600</v>
      </c>
      <c r="N9" s="106" t="n">
        <f aca="false">予算原本_白鳥惣菜!M5</f>
        <v>219247.2686</v>
      </c>
      <c r="O9" s="93" t="n">
        <f aca="false">SUM(C9:N9)</f>
        <v>2680286.6566</v>
      </c>
      <c r="P9" s="93" t="n">
        <f aca="false">SUM(I9:N9)</f>
        <v>1332043.5316</v>
      </c>
    </row>
    <row r="10" customFormat="false" ht="15" hidden="false" customHeight="false" outlineLevel="0" collapsed="false">
      <c r="B10" s="5" t="s">
        <v>325</v>
      </c>
      <c r="C10" s="107" t="n">
        <f aca="false">予算原本_白鳥惣菜!B6</f>
        <v>0.284551916730135</v>
      </c>
      <c r="D10" s="107" t="n">
        <f aca="false">予算原本_白鳥惣菜!C6</f>
        <v>0.284405379507882</v>
      </c>
      <c r="E10" s="107" t="n">
        <f aca="false">予算原本_白鳥惣菜!D6</f>
        <v>0.284497057249866</v>
      </c>
      <c r="F10" s="107" t="n">
        <f aca="false">予算原本_白鳥惣菜!E6</f>
        <v>0.284346294837306</v>
      </c>
      <c r="G10" s="107" t="n">
        <f aca="false">予算原本_白鳥惣菜!F6</f>
        <v>0.284196712250128</v>
      </c>
      <c r="H10" s="107" t="n">
        <f aca="false">予算原本_白鳥惣菜!G6</f>
        <v>0.283869355230415</v>
      </c>
      <c r="I10" s="107" t="n">
        <f aca="false">予算原本_白鳥惣菜!H6</f>
        <v>0.284069359296697</v>
      </c>
      <c r="J10" s="107" t="n">
        <f aca="false">予算原本_白鳥惣菜!I6</f>
        <v>0.283869791666667</v>
      </c>
      <c r="K10" s="107" t="n">
        <f aca="false">予算原本_白鳥惣菜!J6</f>
        <v>0.283737447065941</v>
      </c>
      <c r="L10" s="107" t="n">
        <f aca="false">予算原本_白鳥惣菜!K6</f>
        <v>0.283813131313131</v>
      </c>
      <c r="M10" s="107" t="n">
        <f aca="false">予算原本_白鳥惣菜!L6</f>
        <v>0.283790523690773</v>
      </c>
      <c r="N10" s="107" t="n">
        <f aca="false">予算原本_白鳥惣菜!M6</f>
        <v>0.282171516859717</v>
      </c>
      <c r="O10" s="108" t="n">
        <f aca="false">IF(O8=0,0,O9/O8)</f>
        <v>0.283942237071634</v>
      </c>
      <c r="P10" s="108" t="n">
        <f aca="false">IF(P8=0,0,P9/P8)</f>
        <v>0.283575223840361</v>
      </c>
    </row>
    <row r="11" customFormat="false" ht="15" hidden="true" customHeight="false" outlineLevel="1" collapsed="false">
      <c r="B11" s="5" t="s">
        <v>326</v>
      </c>
      <c r="C11" s="34" t="n">
        <f aca="false">予算原本_白鳥惣菜!B7</f>
        <v>785000</v>
      </c>
      <c r="D11" s="34" t="n">
        <f aca="false">予算原本_白鳥惣菜!C7</f>
        <v>834000</v>
      </c>
      <c r="E11" s="34" t="n">
        <f aca="false">予算原本_白鳥惣菜!D7</f>
        <v>745000</v>
      </c>
      <c r="F11" s="34" t="n">
        <f aca="false">予算原本_白鳥惣菜!E7</f>
        <v>770000</v>
      </c>
      <c r="G11" s="34" t="n">
        <f aca="false">予算原本_白鳥惣菜!F7</f>
        <v>748000</v>
      </c>
      <c r="H11" s="34" t="n">
        <f aca="false">予算原本_白鳥惣菜!G7</f>
        <v>845000</v>
      </c>
      <c r="I11" s="34" t="n">
        <f aca="false">予算原本_白鳥惣菜!H7</f>
        <v>768000</v>
      </c>
      <c r="J11" s="34" t="n">
        <f aca="false">予算原本_白鳥惣菜!I7</f>
        <v>727700</v>
      </c>
      <c r="K11" s="34" t="n">
        <f aca="false">予算原本_白鳥惣菜!J7</f>
        <v>824500</v>
      </c>
      <c r="L11" s="34" t="n">
        <f aca="false">予算原本_白鳥惣菜!K7</f>
        <v>790000</v>
      </c>
      <c r="M11" s="34" t="n">
        <f aca="false">予算原本_白鳥惣菜!L7</f>
        <v>800000</v>
      </c>
      <c r="N11" s="34" t="n">
        <f aca="false">予算原本_白鳥惣菜!M7</f>
        <v>775000</v>
      </c>
      <c r="O11" s="93" t="n">
        <f aca="false">SUM(C11:N11)</f>
        <v>9412200</v>
      </c>
      <c r="P11" s="93" t="n">
        <f aca="false">SUM(I11:N11)</f>
        <v>4685200</v>
      </c>
    </row>
    <row r="12" customFormat="false" ht="15" hidden="true" customHeight="false" outlineLevel="1" collapsed="false">
      <c r="B12" s="5" t="s">
        <v>327</v>
      </c>
      <c r="C12" s="34" t="n">
        <f aca="false">予算原本_白鳥惣菜!B8</f>
        <v>213520</v>
      </c>
      <c r="D12" s="34" t="n">
        <f aca="false">予算原本_白鳥惣菜!C8</f>
        <v>226848</v>
      </c>
      <c r="E12" s="34" t="n">
        <f aca="false">予算原本_白鳥惣菜!D8</f>
        <v>202640</v>
      </c>
      <c r="F12" s="34" t="n">
        <f aca="false">予算原本_白鳥惣菜!E8</f>
        <v>209440</v>
      </c>
      <c r="G12" s="34" t="n">
        <f aca="false">予算原本_白鳥惣菜!F8</f>
        <v>203456</v>
      </c>
      <c r="H12" s="34" t="n">
        <f aca="false">予算原本_白鳥惣菜!G8</f>
        <v>229840</v>
      </c>
      <c r="I12" s="34" t="n">
        <f aca="false">予算原本_白鳥惣菜!H8</f>
        <v>208896</v>
      </c>
      <c r="J12" s="34" t="n">
        <f aca="false">予算原本_白鳥惣菜!I8</f>
        <v>197934.4</v>
      </c>
      <c r="K12" s="34" t="n">
        <f aca="false">予算原本_白鳥惣菜!J8</f>
        <v>224264</v>
      </c>
      <c r="L12" s="34" t="n">
        <f aca="false">予算原本_白鳥惣菜!K8</f>
        <v>214880</v>
      </c>
      <c r="M12" s="34" t="n">
        <f aca="false">予算原本_白鳥惣菜!L8</f>
        <v>217600</v>
      </c>
      <c r="N12" s="34" t="n">
        <f aca="false">予算原本_白鳥惣菜!M8</f>
        <v>210800</v>
      </c>
      <c r="O12" s="93" t="n">
        <f aca="false">SUM(C12:N12)</f>
        <v>2560118.4</v>
      </c>
      <c r="P12" s="93" t="n">
        <f aca="false">SUM(I12:N12)</f>
        <v>1274374.4</v>
      </c>
    </row>
    <row r="13" customFormat="false" ht="15" hidden="true" customHeight="false" outlineLevel="1" collapsed="false">
      <c r="B13" s="5" t="s">
        <v>328</v>
      </c>
      <c r="C13" s="107" t="n">
        <f aca="false">予算原本_白鳥惣菜!B9</f>
        <v>0.272</v>
      </c>
      <c r="D13" s="107" t="n">
        <f aca="false">予算原本_白鳥惣菜!C9</f>
        <v>0.272</v>
      </c>
      <c r="E13" s="107" t="n">
        <f aca="false">予算原本_白鳥惣菜!D9</f>
        <v>0.272</v>
      </c>
      <c r="F13" s="107" t="n">
        <f aca="false">予算原本_白鳥惣菜!E9</f>
        <v>0.272</v>
      </c>
      <c r="G13" s="107" t="n">
        <f aca="false">予算原本_白鳥惣菜!F9</f>
        <v>0.272</v>
      </c>
      <c r="H13" s="107" t="n">
        <f aca="false">予算原本_白鳥惣菜!G9</f>
        <v>0.272</v>
      </c>
      <c r="I13" s="107" t="n">
        <f aca="false">予算原本_白鳥惣菜!H9</f>
        <v>0.272</v>
      </c>
      <c r="J13" s="107" t="n">
        <f aca="false">予算原本_白鳥惣菜!I9</f>
        <v>0.272</v>
      </c>
      <c r="K13" s="107" t="n">
        <f aca="false">予算原本_白鳥惣菜!J9</f>
        <v>0.272</v>
      </c>
      <c r="L13" s="107" t="n">
        <f aca="false">予算原本_白鳥惣菜!K9</f>
        <v>0.272</v>
      </c>
      <c r="M13" s="107" t="n">
        <f aca="false">予算原本_白鳥惣菜!L9</f>
        <v>0.272</v>
      </c>
      <c r="N13" s="107" t="n">
        <f aca="false">予算原本_白鳥惣菜!M9</f>
        <v>0.272</v>
      </c>
      <c r="O13" s="108" t="n">
        <f aca="false">IF(O11=0,0,O12/O11)</f>
        <v>0.272</v>
      </c>
      <c r="P13" s="108" t="n">
        <f aca="false">IF(P11=0,0,P12/P11)</f>
        <v>0.272</v>
      </c>
    </row>
    <row r="14" customFormat="false" ht="15" hidden="true" customHeight="false" outlineLevel="1" collapsed="false">
      <c r="B14" s="5" t="s">
        <v>329</v>
      </c>
      <c r="C14" s="34" t="n">
        <f aca="false">予算原本_白鳥惣菜!B10</f>
        <v>2800</v>
      </c>
      <c r="D14" s="34" t="n">
        <f aca="false">予算原本_白鳥惣菜!C10</f>
        <v>2803.384</v>
      </c>
      <c r="E14" s="34" t="n">
        <f aca="false">予算原本_白鳥惣菜!D10</f>
        <v>2600</v>
      </c>
      <c r="F14" s="34" t="n">
        <f aca="false">予算原本_白鳥惣菜!E10</f>
        <v>2524.471</v>
      </c>
      <c r="G14" s="34" t="n">
        <f aca="false">予算原本_白鳥惣菜!F10</f>
        <v>2295.52</v>
      </c>
      <c r="H14" s="34" t="n">
        <f aca="false">予算原本_白鳥惣菜!G10</f>
        <v>2205.75</v>
      </c>
      <c r="I14" s="34" t="n">
        <f aca="false">予算原本_白鳥惣菜!H10</f>
        <v>2219.863</v>
      </c>
      <c r="J14" s="34" t="n">
        <f aca="false">予算原本_白鳥惣菜!I10</f>
        <v>1900</v>
      </c>
      <c r="K14" s="34" t="n">
        <f aca="false">予算原本_白鳥惣菜!J10</f>
        <v>2000</v>
      </c>
      <c r="L14" s="34" t="n">
        <f aca="false">予算原本_白鳥惣菜!K10</f>
        <v>2000</v>
      </c>
      <c r="M14" s="34" t="n">
        <f aca="false">予算原本_白鳥惣菜!L10</f>
        <v>2000</v>
      </c>
      <c r="N14" s="34" t="n">
        <f aca="false">予算原本_白鳥惣菜!M10</f>
        <v>2000</v>
      </c>
      <c r="O14" s="93" t="n">
        <f aca="false">SUM(C14:N14)</f>
        <v>27348.988</v>
      </c>
      <c r="P14" s="93" t="n">
        <f aca="false">SUM(I14:N14)</f>
        <v>12119.863</v>
      </c>
    </row>
    <row r="15" customFormat="false" ht="15" hidden="true" customHeight="false" outlineLevel="1" collapsed="false">
      <c r="B15" s="5" t="s">
        <v>330</v>
      </c>
      <c r="C15" s="34" t="n">
        <f aca="false">予算原本_白鳥惣菜!B11</f>
        <v>2800</v>
      </c>
      <c r="D15" s="34" t="n">
        <f aca="false">予算原本_白鳥惣菜!C11</f>
        <v>2803.384</v>
      </c>
      <c r="E15" s="34" t="n">
        <f aca="false">予算原本_白鳥惣菜!D11</f>
        <v>2600</v>
      </c>
      <c r="F15" s="34" t="n">
        <f aca="false">予算原本_白鳥惣菜!E11</f>
        <v>2524.471</v>
      </c>
      <c r="G15" s="34" t="n">
        <f aca="false">予算原本_白鳥惣菜!F11</f>
        <v>2295.52</v>
      </c>
      <c r="H15" s="34" t="n">
        <f aca="false">予算原本_白鳥惣菜!G11</f>
        <v>2205.75</v>
      </c>
      <c r="I15" s="34" t="n">
        <f aca="false">予算原本_白鳥惣菜!H11</f>
        <v>2219.863</v>
      </c>
      <c r="J15" s="34" t="n">
        <f aca="false">予算原本_白鳥惣菜!I11</f>
        <v>1900</v>
      </c>
      <c r="K15" s="34" t="n">
        <f aca="false">予算原本_白鳥惣菜!J11</f>
        <v>2000</v>
      </c>
      <c r="L15" s="34" t="n">
        <f aca="false">予算原本_白鳥惣菜!K11</f>
        <v>2000</v>
      </c>
      <c r="M15" s="34" t="n">
        <f aca="false">予算原本_白鳥惣菜!L11</f>
        <v>2000</v>
      </c>
      <c r="N15" s="34" t="n">
        <f aca="false">予算原本_白鳥惣菜!M11</f>
        <v>2000</v>
      </c>
      <c r="O15" s="93" t="n">
        <f aca="false">SUM(C15:N15)</f>
        <v>27348.988</v>
      </c>
      <c r="P15" s="93" t="n">
        <f aca="false">SUM(I15:N15)</f>
        <v>12119.863</v>
      </c>
    </row>
    <row r="16" customFormat="false" ht="15" hidden="true" customHeight="false" outlineLevel="1" collapsed="false">
      <c r="B16" s="5" t="s">
        <v>328</v>
      </c>
      <c r="C16" s="107" t="n">
        <f aca="false">予算原本_白鳥惣菜!B12</f>
        <v>1</v>
      </c>
      <c r="D16" s="107" t="n">
        <f aca="false">予算原本_白鳥惣菜!C12</f>
        <v>1</v>
      </c>
      <c r="E16" s="107" t="n">
        <f aca="false">予算原本_白鳥惣菜!D12</f>
        <v>1</v>
      </c>
      <c r="F16" s="107" t="n">
        <f aca="false">予算原本_白鳥惣菜!E12</f>
        <v>1</v>
      </c>
      <c r="G16" s="107" t="n">
        <f aca="false">予算原本_白鳥惣菜!F12</f>
        <v>1</v>
      </c>
      <c r="H16" s="107" t="n">
        <f aca="false">予算原本_白鳥惣菜!G12</f>
        <v>1</v>
      </c>
      <c r="I16" s="107" t="n">
        <f aca="false">予算原本_白鳥惣菜!H12</f>
        <v>1</v>
      </c>
      <c r="J16" s="107" t="n">
        <f aca="false">予算原本_白鳥惣菜!I12</f>
        <v>1</v>
      </c>
      <c r="K16" s="107" t="n">
        <f aca="false">予算原本_白鳥惣菜!J12</f>
        <v>1</v>
      </c>
      <c r="L16" s="107" t="n">
        <f aca="false">予算原本_白鳥惣菜!K12</f>
        <v>1</v>
      </c>
      <c r="M16" s="107" t="n">
        <f aca="false">予算原本_白鳥惣菜!L12</f>
        <v>1</v>
      </c>
      <c r="N16" s="107" t="n">
        <f aca="false">予算原本_白鳥惣菜!M12</f>
        <v>1</v>
      </c>
      <c r="O16" s="108" t="n">
        <f aca="false">IF(O14=0,0,O15/O14)</f>
        <v>1</v>
      </c>
      <c r="P16" s="108" t="n">
        <f aca="false">IF(P14=0,0,P15/P14)</f>
        <v>1</v>
      </c>
    </row>
    <row r="17" customFormat="false" ht="15" hidden="true" customHeight="false" outlineLevel="1" collapsed="false">
      <c r="B17" s="5" t="s">
        <v>331</v>
      </c>
      <c r="C17" s="34" t="n">
        <f aca="false">予算原本_白鳥惣菜!B13</f>
        <v>0</v>
      </c>
      <c r="D17" s="34" t="n">
        <f aca="false">予算原本_白鳥惣菜!C13</f>
        <v>0</v>
      </c>
      <c r="E17" s="34" t="n">
        <f aca="false">予算原本_白鳥惣菜!D13</f>
        <v>0</v>
      </c>
      <c r="F17" s="34" t="n">
        <f aca="false">予算原本_白鳥惣菜!E13</f>
        <v>0</v>
      </c>
      <c r="G17" s="34" t="n">
        <f aca="false">予算原本_白鳥惣菜!F13</f>
        <v>0</v>
      </c>
      <c r="H17" s="34" t="n">
        <f aca="false">予算原本_白鳥惣菜!G13</f>
        <v>0</v>
      </c>
      <c r="I17" s="34" t="n">
        <f aca="false">予算原本_白鳥惣菜!H13</f>
        <v>0</v>
      </c>
      <c r="J17" s="34" t="n">
        <f aca="false">予算原本_白鳥惣菜!I13</f>
        <v>0</v>
      </c>
      <c r="K17" s="34" t="n">
        <f aca="false">予算原本_白鳥惣菜!J13</f>
        <v>0</v>
      </c>
      <c r="L17" s="34" t="n">
        <f aca="false">予算原本_白鳥惣菜!K13</f>
        <v>0</v>
      </c>
      <c r="M17" s="34" t="n">
        <f aca="false">予算原本_白鳥惣菜!L13</f>
        <v>0</v>
      </c>
      <c r="N17" s="34" t="n">
        <f aca="false">予算原本_白鳥惣菜!M13</f>
        <v>0</v>
      </c>
      <c r="O17" s="93" t="n">
        <f aca="false">SUM(C17:N17)</f>
        <v>0</v>
      </c>
      <c r="P17" s="93" t="n">
        <f aca="false">SUM(I17:N17)</f>
        <v>0</v>
      </c>
    </row>
    <row r="18" customFormat="false" ht="15" hidden="true" customHeight="false" outlineLevel="1" collapsed="false">
      <c r="B18" s="5" t="s">
        <v>332</v>
      </c>
      <c r="C18" s="34" t="n">
        <f aca="false">予算原本_白鳥惣菜!B14</f>
        <v>0</v>
      </c>
      <c r="D18" s="34" t="n">
        <f aca="false">予算原本_白鳥惣菜!C14</f>
        <v>0</v>
      </c>
      <c r="E18" s="34" t="n">
        <f aca="false">予算原本_白鳥惣菜!D14</f>
        <v>0</v>
      </c>
      <c r="F18" s="34" t="n">
        <f aca="false">予算原本_白鳥惣菜!E14</f>
        <v>0</v>
      </c>
      <c r="G18" s="34" t="n">
        <f aca="false">予算原本_白鳥惣菜!F14</f>
        <v>0</v>
      </c>
      <c r="H18" s="34" t="n">
        <f aca="false">予算原本_白鳥惣菜!G14</f>
        <v>0</v>
      </c>
      <c r="I18" s="34" t="n">
        <f aca="false">予算原本_白鳥惣菜!H14</f>
        <v>0</v>
      </c>
      <c r="J18" s="34" t="n">
        <f aca="false">予算原本_白鳥惣菜!I14</f>
        <v>0</v>
      </c>
      <c r="K18" s="34" t="n">
        <f aca="false">予算原本_白鳥惣菜!J14</f>
        <v>0</v>
      </c>
      <c r="L18" s="34" t="n">
        <f aca="false">予算原本_白鳥惣菜!K14</f>
        <v>0</v>
      </c>
      <c r="M18" s="34" t="n">
        <f aca="false">予算原本_白鳥惣菜!L14</f>
        <v>0</v>
      </c>
      <c r="N18" s="34" t="n">
        <f aca="false">予算原本_白鳥惣菜!M14</f>
        <v>0</v>
      </c>
      <c r="O18" s="93" t="n">
        <f aca="false">SUM(C18:N18)</f>
        <v>0</v>
      </c>
      <c r="P18" s="93" t="n">
        <f aca="false">SUM(I18:N18)</f>
        <v>0</v>
      </c>
    </row>
    <row r="19" customFormat="false" ht="15" hidden="true" customHeight="false" outlineLevel="1" collapsed="false">
      <c r="B19" s="5" t="s">
        <v>328</v>
      </c>
      <c r="C19" s="107" t="n">
        <f aca="false">予算原本_白鳥惣菜!B15</f>
        <v>0</v>
      </c>
      <c r="D19" s="107" t="n">
        <f aca="false">予算原本_白鳥惣菜!C15</f>
        <v>0</v>
      </c>
      <c r="E19" s="107" t="n">
        <f aca="false">予算原本_白鳥惣菜!D15</f>
        <v>0</v>
      </c>
      <c r="F19" s="107" t="n">
        <f aca="false">予算原本_白鳥惣菜!E15</f>
        <v>0</v>
      </c>
      <c r="G19" s="107" t="n">
        <f aca="false">予算原本_白鳥惣菜!F15</f>
        <v>0</v>
      </c>
      <c r="H19" s="107" t="n">
        <f aca="false">予算原本_白鳥惣菜!G15</f>
        <v>0</v>
      </c>
      <c r="I19" s="107" t="n">
        <f aca="false">予算原本_白鳥惣菜!H15</f>
        <v>0</v>
      </c>
      <c r="J19" s="107" t="n">
        <f aca="false">予算原本_白鳥惣菜!I15</f>
        <v>0</v>
      </c>
      <c r="K19" s="107" t="n">
        <f aca="false">予算原本_白鳥惣菜!J15</f>
        <v>0</v>
      </c>
      <c r="L19" s="107" t="n">
        <f aca="false">予算原本_白鳥惣菜!K15</f>
        <v>0</v>
      </c>
      <c r="M19" s="107" t="n">
        <f aca="false">予算原本_白鳥惣菜!L15</f>
        <v>0</v>
      </c>
      <c r="N19" s="107" t="n">
        <f aca="false">予算原本_白鳥惣菜!M15</f>
        <v>0</v>
      </c>
      <c r="O19" s="108" t="n">
        <f aca="false">IF(O17=0,0,O18/O17)</f>
        <v>0</v>
      </c>
      <c r="P19" s="108" t="n">
        <f aca="false">IF(P17=0,0,P18/P17)</f>
        <v>0</v>
      </c>
    </row>
    <row r="20" customFormat="false" ht="15" hidden="true" customHeight="false" outlineLevel="1" collapsed="false">
      <c r="B20" s="5" t="s">
        <v>333</v>
      </c>
      <c r="C20" s="34" t="n">
        <f aca="false">予算原本_白鳥惣菜!B16</f>
        <v>0</v>
      </c>
      <c r="D20" s="34" t="n">
        <f aca="false">予算原本_白鳥惣菜!C16</f>
        <v>0</v>
      </c>
      <c r="E20" s="34" t="n">
        <f aca="false">予算原本_白鳥惣菜!D16</f>
        <v>0</v>
      </c>
      <c r="F20" s="34" t="n">
        <f aca="false">予算原本_白鳥惣菜!E16</f>
        <v>0</v>
      </c>
      <c r="G20" s="34" t="n">
        <f aca="false">予算原本_白鳥惣菜!F16</f>
        <v>0</v>
      </c>
      <c r="H20" s="34" t="n">
        <f aca="false">予算原本_白鳥惣菜!G16</f>
        <v>0</v>
      </c>
      <c r="I20" s="34" t="n">
        <f aca="false">予算原本_白鳥惣菜!H16</f>
        <v>0</v>
      </c>
      <c r="J20" s="34" t="n">
        <f aca="false">予算原本_白鳥惣菜!I16</f>
        <v>0</v>
      </c>
      <c r="K20" s="34" t="n">
        <f aca="false">予算原本_白鳥惣菜!J16</f>
        <v>0</v>
      </c>
      <c r="L20" s="34" t="n">
        <f aca="false">予算原本_白鳥惣菜!K16</f>
        <v>0</v>
      </c>
      <c r="M20" s="34" t="n">
        <f aca="false">予算原本_白鳥惣菜!L16</f>
        <v>0</v>
      </c>
      <c r="N20" s="34" t="n">
        <f aca="false">予算原本_白鳥惣菜!M16</f>
        <v>0</v>
      </c>
      <c r="O20" s="93" t="n">
        <f aca="false">SUM(C20:N20)</f>
        <v>0</v>
      </c>
      <c r="P20" s="93" t="n">
        <f aca="false">SUM(I20:N20)</f>
        <v>0</v>
      </c>
    </row>
    <row r="21" customFormat="false" ht="15" hidden="true" customHeight="false" outlineLevel="1" collapsed="false">
      <c r="B21" s="5" t="s">
        <v>334</v>
      </c>
      <c r="C21" s="34" t="n">
        <f aca="false">予算原本_白鳥惣菜!B17</f>
        <v>7850</v>
      </c>
      <c r="D21" s="34" t="n">
        <f aca="false">予算原本_白鳥惣菜!C17</f>
        <v>8340</v>
      </c>
      <c r="E21" s="34" t="n">
        <f aca="false">予算原本_白鳥惣菜!D17</f>
        <v>7450</v>
      </c>
      <c r="F21" s="34" t="n">
        <f aca="false">予算原本_白鳥惣菜!E17</f>
        <v>7700</v>
      </c>
      <c r="G21" s="34" t="n">
        <f aca="false">予算原本_白鳥惣菜!F17</f>
        <v>7480</v>
      </c>
      <c r="H21" s="34" t="n">
        <f aca="false">予算原本_白鳥惣菜!G17</f>
        <v>8450</v>
      </c>
      <c r="I21" s="34" t="n">
        <f aca="false">予算原本_白鳥惣菜!H17</f>
        <v>7680</v>
      </c>
      <c r="J21" s="34" t="n">
        <f aca="false">予算原本_白鳥惣菜!I17</f>
        <v>7277</v>
      </c>
      <c r="K21" s="34" t="n">
        <f aca="false">予算原本_白鳥惣菜!J17</f>
        <v>8245</v>
      </c>
      <c r="L21" s="34" t="n">
        <f aca="false">予算原本_白鳥惣菜!K17</f>
        <v>7900</v>
      </c>
      <c r="M21" s="34" t="n">
        <f aca="false">予算原本_白鳥惣菜!L17</f>
        <v>8000</v>
      </c>
      <c r="N21" s="34" t="n">
        <f aca="false">予算原本_白鳥惣菜!M17</f>
        <v>6447.2686</v>
      </c>
      <c r="O21" s="93" t="n">
        <f aca="false">SUM(C21:N21)</f>
        <v>92819.2686</v>
      </c>
      <c r="P21" s="93" t="n">
        <f aca="false">SUM(I21:N21)</f>
        <v>45549.2686</v>
      </c>
    </row>
    <row r="22" customFormat="false" ht="15" hidden="true" customHeight="false" outlineLevel="1" collapsed="false">
      <c r="B22" s="5" t="s">
        <v>328</v>
      </c>
      <c r="C22" s="107" t="n">
        <f aca="false">予算原本_白鳥惣菜!B18</f>
        <v>0</v>
      </c>
      <c r="D22" s="107" t="n">
        <f aca="false">予算原本_白鳥惣菜!C18</f>
        <v>0</v>
      </c>
      <c r="E22" s="107" t="n">
        <f aca="false">予算原本_白鳥惣菜!D18</f>
        <v>0</v>
      </c>
      <c r="F22" s="107" t="n">
        <f aca="false">予算原本_白鳥惣菜!E18</f>
        <v>0</v>
      </c>
      <c r="G22" s="107" t="n">
        <f aca="false">予算原本_白鳥惣菜!F18</f>
        <v>0</v>
      </c>
      <c r="H22" s="107" t="n">
        <f aca="false">予算原本_白鳥惣菜!G18</f>
        <v>0</v>
      </c>
      <c r="I22" s="107" t="n">
        <f aca="false">予算原本_白鳥惣菜!H18</f>
        <v>0</v>
      </c>
      <c r="J22" s="107" t="n">
        <f aca="false">予算原本_白鳥惣菜!I18</f>
        <v>0</v>
      </c>
      <c r="K22" s="107" t="n">
        <f aca="false">予算原本_白鳥惣菜!J18</f>
        <v>0</v>
      </c>
      <c r="L22" s="107" t="n">
        <f aca="false">予算原本_白鳥惣菜!K18</f>
        <v>0</v>
      </c>
      <c r="M22" s="107" t="n">
        <f aca="false">予算原本_白鳥惣菜!L18</f>
        <v>0</v>
      </c>
      <c r="N22" s="107" t="n">
        <f aca="false">予算原本_白鳥惣菜!M18</f>
        <v>0</v>
      </c>
      <c r="O22" s="108" t="n">
        <f aca="false">IF(O20=0,0,O21/O20)</f>
        <v>0</v>
      </c>
      <c r="P22" s="108" t="n">
        <f aca="false">IF(P20=0,0,P21/P20)</f>
        <v>0</v>
      </c>
    </row>
    <row r="23" customFormat="false" ht="15" hidden="false" customHeight="false" outlineLevel="0" collapsed="false">
      <c r="B23" s="12" t="s">
        <v>335</v>
      </c>
      <c r="C23" s="106" t="n">
        <f aca="false">予算原本_白鳥惣菜!B19</f>
        <v>137474</v>
      </c>
      <c r="D23" s="106" t="n">
        <f aca="false">予算原本_白鳥惣菜!C19</f>
        <v>138653</v>
      </c>
      <c r="E23" s="106" t="n">
        <f aca="false">予算原本_白鳥惣菜!D19</f>
        <v>141802</v>
      </c>
      <c r="F23" s="106" t="n">
        <f aca="false">予算原本_白鳥惣菜!E19</f>
        <v>140499</v>
      </c>
      <c r="G23" s="106" t="n">
        <f aca="false">予算原本_白鳥惣菜!F19</f>
        <v>133546</v>
      </c>
      <c r="H23" s="106" t="n">
        <f aca="false">予算原本_白鳥惣菜!G19</f>
        <v>144822</v>
      </c>
      <c r="I23" s="106" t="n">
        <f aca="false">予算原本_白鳥惣菜!H19</f>
        <v>144712</v>
      </c>
      <c r="J23" s="106" t="n">
        <f aca="false">予算原本_白鳥惣菜!I19</f>
        <v>135001</v>
      </c>
      <c r="K23" s="106" t="n">
        <f aca="false">予算原本_白鳥惣菜!J19</f>
        <v>143688</v>
      </c>
      <c r="L23" s="106" t="n">
        <f aca="false">予算原本_白鳥惣菜!K19</f>
        <v>139346</v>
      </c>
      <c r="M23" s="106" t="n">
        <f aca="false">予算原本_白鳥惣菜!L19</f>
        <v>144350</v>
      </c>
      <c r="N23" s="106" t="n">
        <f aca="false">予算原本_白鳥惣菜!M19</f>
        <v>142608</v>
      </c>
      <c r="O23" s="93" t="n">
        <f aca="false">SUM(C23:N23)</f>
        <v>1686501</v>
      </c>
      <c r="P23" s="93" t="n">
        <f aca="false">SUM(I23:N23)</f>
        <v>849705</v>
      </c>
    </row>
    <row r="24" customFormat="false" ht="15" hidden="false" customHeight="false" outlineLevel="1" collapsed="false">
      <c r="B24" s="5" t="s">
        <v>336</v>
      </c>
      <c r="C24" s="34" t="n">
        <f aca="false">予算原本_白鳥惣菜!B20</f>
        <v>89240</v>
      </c>
      <c r="D24" s="34" t="n">
        <f aca="false">予算原本_白鳥惣菜!C20</f>
        <v>91540</v>
      </c>
      <c r="E24" s="34" t="n">
        <f aca="false">予算原本_白鳥惣菜!D20</f>
        <v>97500</v>
      </c>
      <c r="F24" s="34" t="n">
        <f aca="false">予算原本_白鳥惣菜!E20</f>
        <v>96250</v>
      </c>
      <c r="G24" s="34" t="n">
        <f aca="false">予算原本_白鳥惣菜!F20</f>
        <v>86900</v>
      </c>
      <c r="H24" s="34" t="n">
        <f aca="false">予算原本_白鳥惣菜!G20</f>
        <v>94800</v>
      </c>
      <c r="I24" s="34" t="n">
        <f aca="false">予算原本_白鳥惣菜!H20</f>
        <v>99450</v>
      </c>
      <c r="J24" s="34" t="n">
        <f aca="false">予算原本_白鳥惣菜!I20</f>
        <v>90475</v>
      </c>
      <c r="K24" s="34" t="n">
        <f aca="false">予算原本_白鳥惣菜!J20</f>
        <v>96250</v>
      </c>
      <c r="L24" s="34" t="n">
        <f aca="false">予算原本_白鳥惣菜!K20</f>
        <v>95000</v>
      </c>
      <c r="M24" s="34" t="n">
        <f aca="false">予算原本_白鳥惣菜!L20</f>
        <v>95000</v>
      </c>
      <c r="N24" s="34" t="n">
        <f aca="false">予算原本_白鳥惣菜!M20</f>
        <v>97500</v>
      </c>
      <c r="O24" s="93" t="n">
        <f aca="false">SUM(C24:N24)</f>
        <v>1129905</v>
      </c>
      <c r="P24" s="93" t="n">
        <f aca="false">SUM(I24:N24)</f>
        <v>573675</v>
      </c>
    </row>
    <row r="25" customFormat="false" ht="15" hidden="false" customHeight="false" outlineLevel="1" collapsed="false">
      <c r="B25" s="5" t="s">
        <v>337</v>
      </c>
      <c r="C25" s="34" t="n">
        <f aca="false">予算原本_白鳥惣菜!B21</f>
        <v>0</v>
      </c>
      <c r="D25" s="34" t="n">
        <f aca="false">予算原本_白鳥惣菜!C21</f>
        <v>0</v>
      </c>
      <c r="E25" s="34" t="n">
        <f aca="false">予算原本_白鳥惣菜!D21</f>
        <v>0</v>
      </c>
      <c r="F25" s="34" t="n">
        <f aca="false">予算原本_白鳥惣菜!E21</f>
        <v>0</v>
      </c>
      <c r="G25" s="34" t="n">
        <f aca="false">予算原本_白鳥惣菜!F21</f>
        <v>0</v>
      </c>
      <c r="H25" s="34" t="n">
        <f aca="false">予算原本_白鳥惣菜!G21</f>
        <v>0</v>
      </c>
      <c r="I25" s="34" t="n">
        <f aca="false">予算原本_白鳥惣菜!H21</f>
        <v>0</v>
      </c>
      <c r="J25" s="34" t="n">
        <f aca="false">予算原本_白鳥惣菜!I21</f>
        <v>0</v>
      </c>
      <c r="K25" s="34" t="n">
        <f aca="false">予算原本_白鳥惣菜!J21</f>
        <v>0</v>
      </c>
      <c r="L25" s="34" t="n">
        <f aca="false">予算原本_白鳥惣菜!K21</f>
        <v>0</v>
      </c>
      <c r="M25" s="34" t="n">
        <f aca="false">予算原本_白鳥惣菜!L21</f>
        <v>0</v>
      </c>
      <c r="N25" s="34" t="n">
        <f aca="false">予算原本_白鳥惣菜!M21</f>
        <v>0</v>
      </c>
      <c r="O25" s="93" t="n">
        <f aca="false">SUM(C25:N25)</f>
        <v>0</v>
      </c>
      <c r="P25" s="93" t="n">
        <f aca="false">SUM(I25:N25)</f>
        <v>0</v>
      </c>
    </row>
    <row r="26" customFormat="false" ht="15" hidden="false" customHeight="false" outlineLevel="1" collapsed="false">
      <c r="B26" s="5" t="s">
        <v>338</v>
      </c>
      <c r="C26" s="34" t="n">
        <f aca="false">予算原本_白鳥惣菜!B22</f>
        <v>18960</v>
      </c>
      <c r="D26" s="34" t="n">
        <f aca="false">予算原本_白鳥惣菜!C22</f>
        <v>19440</v>
      </c>
      <c r="E26" s="34" t="n">
        <f aca="false">予算原本_白鳥惣菜!D22</f>
        <v>18000</v>
      </c>
      <c r="F26" s="34" t="n">
        <f aca="false">予算原本_白鳥惣菜!E22</f>
        <v>18120</v>
      </c>
      <c r="G26" s="34" t="n">
        <f aca="false">予算原本_白鳥惣菜!F22</f>
        <v>18724</v>
      </c>
      <c r="H26" s="34" t="n">
        <f aca="false">予算原本_白鳥惣菜!G22</f>
        <v>20336</v>
      </c>
      <c r="I26" s="34" t="n">
        <f aca="false">予算原本_白鳥惣菜!H22</f>
        <v>18600</v>
      </c>
      <c r="J26" s="34" t="n">
        <f aca="false">予算原本_白鳥惣菜!I22</f>
        <v>18450</v>
      </c>
      <c r="K26" s="34" t="n">
        <f aca="false">予算原本_白鳥惣菜!J22</f>
        <v>19840</v>
      </c>
      <c r="L26" s="34" t="n">
        <f aca="false">予算原本_白鳥惣菜!K22</f>
        <v>18600</v>
      </c>
      <c r="M26" s="34" t="n">
        <f aca="false">予算原本_白鳥惣菜!L22</f>
        <v>19592</v>
      </c>
      <c r="N26" s="34" t="n">
        <f aca="false">予算原本_白鳥惣菜!M22</f>
        <v>18724</v>
      </c>
      <c r="O26" s="93" t="n">
        <f aca="false">SUM(C26:N26)</f>
        <v>227386</v>
      </c>
      <c r="P26" s="93" t="n">
        <f aca="false">SUM(I26:N26)</f>
        <v>113806</v>
      </c>
    </row>
    <row r="27" customFormat="false" ht="15" hidden="false" customHeight="false" outlineLevel="1" collapsed="false">
      <c r="B27" s="5" t="s">
        <v>339</v>
      </c>
      <c r="C27" s="34" t="n">
        <f aca="false">予算原本_白鳥惣菜!B23</f>
        <v>1000</v>
      </c>
      <c r="D27" s="34" t="n">
        <f aca="false">予算原本_白鳥惣菜!C23</f>
        <v>2000</v>
      </c>
      <c r="E27" s="34" t="n">
        <f aca="false">予算原本_白鳥惣菜!D23</f>
        <v>100</v>
      </c>
      <c r="F27" s="34" t="n">
        <f aca="false">予算原本_白鳥惣菜!E23</f>
        <v>100</v>
      </c>
      <c r="G27" s="34" t="n">
        <f aca="false">予算原本_白鳥惣菜!F23</f>
        <v>100</v>
      </c>
      <c r="H27" s="34" t="n">
        <f aca="false">予算原本_白鳥惣菜!G23</f>
        <v>3500</v>
      </c>
      <c r="I27" s="34" t="n">
        <f aca="false">予算原本_白鳥惣菜!H23</f>
        <v>100</v>
      </c>
      <c r="J27" s="34" t="n">
        <f aca="false">予算原本_白鳥惣菜!I23</f>
        <v>1000</v>
      </c>
      <c r="K27" s="34" t="n">
        <f aca="false">予算原本_白鳥惣菜!J23</f>
        <v>1500</v>
      </c>
      <c r="L27" s="34" t="n">
        <f aca="false">予算原本_白鳥惣菜!K23</f>
        <v>100</v>
      </c>
      <c r="M27" s="34" t="n">
        <f aca="false">予算原本_白鳥惣菜!L23</f>
        <v>1000</v>
      </c>
      <c r="N27" s="34" t="n">
        <f aca="false">予算原本_白鳥惣菜!M23</f>
        <v>100</v>
      </c>
      <c r="O27" s="93" t="n">
        <f aca="false">SUM(C27:N27)</f>
        <v>10600</v>
      </c>
      <c r="P27" s="93" t="n">
        <f aca="false">SUM(I27:N27)</f>
        <v>3800</v>
      </c>
    </row>
    <row r="28" customFormat="false" ht="15" hidden="false" customHeight="false" outlineLevel="1" collapsed="false">
      <c r="B28" s="5" t="s">
        <v>340</v>
      </c>
      <c r="C28" s="34" t="n">
        <f aca="false">予算原本_白鳥惣菜!B24</f>
        <v>5160</v>
      </c>
      <c r="D28" s="34" t="n">
        <f aca="false">予算原本_白鳥惣菜!C24</f>
        <v>5160</v>
      </c>
      <c r="E28" s="34" t="n">
        <f aca="false">予算原本_白鳥惣菜!D24</f>
        <v>5160</v>
      </c>
      <c r="F28" s="34" t="n">
        <f aca="false">予算原本_白鳥惣菜!E24</f>
        <v>5160</v>
      </c>
      <c r="G28" s="34" t="n">
        <f aca="false">予算原本_白鳥惣菜!F24</f>
        <v>5160</v>
      </c>
      <c r="H28" s="34" t="n">
        <f aca="false">予算原本_白鳥惣菜!G24</f>
        <v>5160</v>
      </c>
      <c r="I28" s="34" t="n">
        <f aca="false">予算原本_白鳥惣菜!H24</f>
        <v>5160</v>
      </c>
      <c r="J28" s="34" t="n">
        <f aca="false">予算原本_白鳥惣菜!I24</f>
        <v>5160</v>
      </c>
      <c r="K28" s="34" t="n">
        <f aca="false">予算原本_白鳥惣菜!J24</f>
        <v>5160</v>
      </c>
      <c r="L28" s="34" t="n">
        <f aca="false">予算原本_白鳥惣菜!K24</f>
        <v>5160</v>
      </c>
      <c r="M28" s="34" t="n">
        <f aca="false">予算原本_白鳥惣菜!L24</f>
        <v>5160</v>
      </c>
      <c r="N28" s="34" t="n">
        <f aca="false">予算原本_白鳥惣菜!M24</f>
        <v>5160</v>
      </c>
      <c r="O28" s="93" t="n">
        <f aca="false">SUM(C28:N28)</f>
        <v>61920</v>
      </c>
      <c r="P28" s="93" t="n">
        <f aca="false">SUM(I28:N28)</f>
        <v>30960</v>
      </c>
    </row>
    <row r="29" customFormat="false" ht="15" hidden="false" customHeight="false" outlineLevel="1" collapsed="false">
      <c r="B29" s="5" t="s">
        <v>341</v>
      </c>
      <c r="C29" s="34" t="n">
        <f aca="false">予算原本_白鳥惣菜!B25</f>
        <v>16269</v>
      </c>
      <c r="D29" s="34" t="n">
        <f aca="false">予算原本_白鳥惣菜!C25</f>
        <v>16668</v>
      </c>
      <c r="E29" s="34" t="n">
        <f aca="false">予算原本_白鳥惣菜!D25</f>
        <v>17397</v>
      </c>
      <c r="F29" s="34" t="n">
        <f aca="false">予算原本_白鳥惣菜!E25</f>
        <v>17224</v>
      </c>
      <c r="G29" s="34" t="n">
        <f aca="false">予算原本_白鳥惣菜!F25</f>
        <v>15892</v>
      </c>
      <c r="H29" s="34" t="n">
        <f aca="false">予算原本_白鳥惣菜!G25</f>
        <v>17256</v>
      </c>
      <c r="I29" s="34" t="n">
        <f aca="false">予算原本_白鳥惣菜!H25</f>
        <v>17757</v>
      </c>
      <c r="J29" s="34" t="n">
        <f aca="false">予算原本_白鳥惣菜!I25</f>
        <v>16396</v>
      </c>
      <c r="K29" s="34" t="n">
        <f aca="false">予算原本_白鳥惣菜!J25</f>
        <v>17418</v>
      </c>
      <c r="L29" s="34" t="n">
        <f aca="false">予算原本_白鳥惣菜!K25</f>
        <v>17091</v>
      </c>
      <c r="M29" s="34" t="n">
        <f aca="false">予算原本_白鳥惣菜!L25</f>
        <v>17203</v>
      </c>
      <c r="N29" s="34" t="n">
        <f aca="false">予算原本_白鳥惣菜!M25</f>
        <v>17479</v>
      </c>
      <c r="O29" s="93" t="n">
        <f aca="false">SUM(C29:N29)</f>
        <v>204050</v>
      </c>
      <c r="P29" s="93" t="n">
        <f aca="false">SUM(I29:N29)</f>
        <v>103344</v>
      </c>
    </row>
    <row r="30" customFormat="false" ht="15" hidden="false" customHeight="false" outlineLevel="1" collapsed="false">
      <c r="B30" s="5" t="s">
        <v>342</v>
      </c>
      <c r="C30" s="34" t="n">
        <f aca="false">予算原本_白鳥惣菜!B26</f>
        <v>6835</v>
      </c>
      <c r="D30" s="34" t="n">
        <f aca="false">予算原本_白鳥惣菜!C26</f>
        <v>3835</v>
      </c>
      <c r="E30" s="34" t="n">
        <f aca="false">予算原本_白鳥惣菜!D26</f>
        <v>3635</v>
      </c>
      <c r="F30" s="34" t="n">
        <f aca="false">予算原本_白鳥惣菜!E26</f>
        <v>3635</v>
      </c>
      <c r="G30" s="34" t="n">
        <f aca="false">予算原本_白鳥惣菜!F26</f>
        <v>6760</v>
      </c>
      <c r="H30" s="34" t="n">
        <f aca="false">予算原本_白鳥惣菜!G26</f>
        <v>3760</v>
      </c>
      <c r="I30" s="34" t="n">
        <f aca="false">予算原本_白鳥惣菜!H26</f>
        <v>3635</v>
      </c>
      <c r="J30" s="34" t="n">
        <f aca="false">予算原本_白鳥惣菜!I26</f>
        <v>3510</v>
      </c>
      <c r="K30" s="34" t="n">
        <f aca="false">予算原本_白鳥惣菜!J26</f>
        <v>3510</v>
      </c>
      <c r="L30" s="34" t="n">
        <f aca="false">予算原本_白鳥惣菜!K26</f>
        <v>3385</v>
      </c>
      <c r="M30" s="34" t="n">
        <f aca="false">予算原本_白鳥惣菜!L26</f>
        <v>6385</v>
      </c>
      <c r="N30" s="34" t="n">
        <f aca="false">予算原本_白鳥惣菜!M26</f>
        <v>3635</v>
      </c>
      <c r="O30" s="93" t="n">
        <f aca="false">SUM(C30:N30)</f>
        <v>52520</v>
      </c>
      <c r="P30" s="93" t="n">
        <f aca="false">SUM(I30:N30)</f>
        <v>24060</v>
      </c>
    </row>
    <row r="31" customFormat="false" ht="15" hidden="false" customHeight="false" outlineLevel="1" collapsed="false">
      <c r="B31" s="5" t="s">
        <v>343</v>
      </c>
      <c r="C31" s="34" t="n">
        <f aca="false">予算原本_白鳥惣菜!B27</f>
        <v>0</v>
      </c>
      <c r="D31" s="34" t="n">
        <f aca="false">予算原本_白鳥惣菜!C27</f>
        <v>0</v>
      </c>
      <c r="E31" s="34" t="n">
        <f aca="false">予算原本_白鳥惣菜!D27</f>
        <v>0</v>
      </c>
      <c r="F31" s="34" t="n">
        <f aca="false">予算原本_白鳥惣菜!E27</f>
        <v>0</v>
      </c>
      <c r="G31" s="34" t="n">
        <f aca="false">予算原本_白鳥惣菜!F27</f>
        <v>0</v>
      </c>
      <c r="H31" s="34" t="n">
        <f aca="false">予算原本_白鳥惣菜!G27</f>
        <v>0</v>
      </c>
      <c r="I31" s="34" t="n">
        <f aca="false">予算原本_白鳥惣菜!H27</f>
        <v>0</v>
      </c>
      <c r="J31" s="34" t="n">
        <f aca="false">予算原本_白鳥惣菜!I27</f>
        <v>0</v>
      </c>
      <c r="K31" s="34" t="n">
        <f aca="false">予算原本_白鳥惣菜!J27</f>
        <v>0</v>
      </c>
      <c r="L31" s="34" t="n">
        <f aca="false">予算原本_白鳥惣菜!K27</f>
        <v>0</v>
      </c>
      <c r="M31" s="34" t="n">
        <f aca="false">予算原本_白鳥惣菜!L27</f>
        <v>0</v>
      </c>
      <c r="N31" s="34" t="n">
        <f aca="false">予算原本_白鳥惣菜!M27</f>
        <v>0</v>
      </c>
      <c r="O31" s="93" t="n">
        <f aca="false">SUM(C31:N31)</f>
        <v>0</v>
      </c>
      <c r="P31" s="93" t="n">
        <f aca="false">SUM(I31:N31)</f>
        <v>0</v>
      </c>
    </row>
    <row r="32" customFormat="false" ht="15" hidden="false" customHeight="false" outlineLevel="1" collapsed="false">
      <c r="B32" s="5" t="s">
        <v>344</v>
      </c>
      <c r="C32" s="34" t="n">
        <f aca="false">予算原本_白鳥惣菜!B28</f>
        <v>10</v>
      </c>
      <c r="D32" s="34" t="n">
        <f aca="false">予算原本_白鳥惣菜!C28</f>
        <v>10</v>
      </c>
      <c r="E32" s="34" t="n">
        <f aca="false">予算原本_白鳥惣菜!D28</f>
        <v>10</v>
      </c>
      <c r="F32" s="34" t="n">
        <f aca="false">予算原本_白鳥惣菜!E28</f>
        <v>10</v>
      </c>
      <c r="G32" s="34" t="n">
        <f aca="false">予算原本_白鳥惣菜!F28</f>
        <v>10</v>
      </c>
      <c r="H32" s="34" t="n">
        <f aca="false">予算原本_白鳥惣菜!G28</f>
        <v>10</v>
      </c>
      <c r="I32" s="34" t="n">
        <f aca="false">予算原本_白鳥惣菜!H28</f>
        <v>10</v>
      </c>
      <c r="J32" s="34" t="n">
        <f aca="false">予算原本_白鳥惣菜!I28</f>
        <v>10</v>
      </c>
      <c r="K32" s="34" t="n">
        <f aca="false">予算原本_白鳥惣菜!J28</f>
        <v>10</v>
      </c>
      <c r="L32" s="34" t="n">
        <f aca="false">予算原本_白鳥惣菜!K28</f>
        <v>10</v>
      </c>
      <c r="M32" s="34" t="n">
        <f aca="false">予算原本_白鳥惣菜!L28</f>
        <v>10</v>
      </c>
      <c r="N32" s="34" t="n">
        <f aca="false">予算原本_白鳥惣菜!M28</f>
        <v>10</v>
      </c>
      <c r="O32" s="93" t="n">
        <f aca="false">SUM(C32:N32)</f>
        <v>120</v>
      </c>
      <c r="P32" s="93" t="n">
        <f aca="false">SUM(I32:N32)</f>
        <v>60</v>
      </c>
    </row>
    <row r="33" customFormat="false" ht="15" hidden="false" customHeight="false" outlineLevel="0" collapsed="false">
      <c r="B33" s="12" t="s">
        <v>345</v>
      </c>
      <c r="C33" s="106" t="n">
        <f aca="false">予算原本_白鳥惣菜!B29</f>
        <v>0</v>
      </c>
      <c r="D33" s="106" t="n">
        <f aca="false">予算原本_白鳥惣菜!C29</f>
        <v>0</v>
      </c>
      <c r="E33" s="106" t="n">
        <f aca="false">予算原本_白鳥惣菜!D29</f>
        <v>0</v>
      </c>
      <c r="F33" s="106" t="n">
        <f aca="false">予算原本_白鳥惣菜!E29</f>
        <v>0</v>
      </c>
      <c r="G33" s="106" t="n">
        <f aca="false">予算原本_白鳥惣菜!F29</f>
        <v>0</v>
      </c>
      <c r="H33" s="106" t="n">
        <f aca="false">予算原本_白鳥惣菜!G29</f>
        <v>0</v>
      </c>
      <c r="I33" s="106" t="n">
        <f aca="false">予算原本_白鳥惣菜!H29</f>
        <v>0</v>
      </c>
      <c r="J33" s="106" t="n">
        <f aca="false">予算原本_白鳥惣菜!I29</f>
        <v>0</v>
      </c>
      <c r="K33" s="106" t="n">
        <f aca="false">予算原本_白鳥惣菜!J29</f>
        <v>0</v>
      </c>
      <c r="L33" s="106" t="n">
        <f aca="false">予算原本_白鳥惣菜!K29</f>
        <v>0</v>
      </c>
      <c r="M33" s="106" t="n">
        <f aca="false">予算原本_白鳥惣菜!L29</f>
        <v>0</v>
      </c>
      <c r="N33" s="106" t="n">
        <f aca="false">予算原本_白鳥惣菜!M29</f>
        <v>0</v>
      </c>
      <c r="O33" s="93" t="n">
        <f aca="false">SUM(C33:N33)</f>
        <v>0</v>
      </c>
      <c r="P33" s="93" t="n">
        <f aca="false">SUM(I33:N33)</f>
        <v>0</v>
      </c>
    </row>
    <row r="34" customFormat="false" ht="15" hidden="false" customHeight="false" outlineLevel="1" collapsed="false">
      <c r="B34" s="5" t="s">
        <v>346</v>
      </c>
      <c r="C34" s="34" t="n">
        <f aca="false">予算原本_白鳥惣菜!B30</f>
        <v>0</v>
      </c>
      <c r="D34" s="34" t="n">
        <f aca="false">予算原本_白鳥惣菜!C30</f>
        <v>0</v>
      </c>
      <c r="E34" s="34" t="n">
        <f aca="false">予算原本_白鳥惣菜!D30</f>
        <v>0</v>
      </c>
      <c r="F34" s="34" t="n">
        <f aca="false">予算原本_白鳥惣菜!E30</f>
        <v>0</v>
      </c>
      <c r="G34" s="34" t="n">
        <f aca="false">予算原本_白鳥惣菜!F30</f>
        <v>0</v>
      </c>
      <c r="H34" s="34" t="n">
        <f aca="false">予算原本_白鳥惣菜!G30</f>
        <v>0</v>
      </c>
      <c r="I34" s="34" t="n">
        <f aca="false">予算原本_白鳥惣菜!H30</f>
        <v>0</v>
      </c>
      <c r="J34" s="34" t="n">
        <f aca="false">予算原本_白鳥惣菜!I30</f>
        <v>0</v>
      </c>
      <c r="K34" s="34" t="n">
        <f aca="false">予算原本_白鳥惣菜!J30</f>
        <v>0</v>
      </c>
      <c r="L34" s="34" t="n">
        <f aca="false">予算原本_白鳥惣菜!K30</f>
        <v>0</v>
      </c>
      <c r="M34" s="34" t="n">
        <f aca="false">予算原本_白鳥惣菜!L30</f>
        <v>0</v>
      </c>
      <c r="N34" s="34" t="n">
        <f aca="false">予算原本_白鳥惣菜!M30</f>
        <v>0</v>
      </c>
      <c r="O34" s="93" t="n">
        <f aca="false">SUM(C34:N34)</f>
        <v>0</v>
      </c>
      <c r="P34" s="93" t="n">
        <f aca="false">SUM(I34:N34)</f>
        <v>0</v>
      </c>
    </row>
    <row r="35" customFormat="false" ht="15" hidden="false" customHeight="false" outlineLevel="1" collapsed="false">
      <c r="B35" s="5" t="s">
        <v>347</v>
      </c>
      <c r="C35" s="34" t="n">
        <f aca="false">予算原本_白鳥惣菜!B31</f>
        <v>0</v>
      </c>
      <c r="D35" s="34" t="n">
        <f aca="false">予算原本_白鳥惣菜!C31</f>
        <v>0</v>
      </c>
      <c r="E35" s="34" t="n">
        <f aca="false">予算原本_白鳥惣菜!D31</f>
        <v>0</v>
      </c>
      <c r="F35" s="34" t="n">
        <f aca="false">予算原本_白鳥惣菜!E31</f>
        <v>0</v>
      </c>
      <c r="G35" s="34" t="n">
        <f aca="false">予算原本_白鳥惣菜!F31</f>
        <v>0</v>
      </c>
      <c r="H35" s="34" t="n">
        <f aca="false">予算原本_白鳥惣菜!G31</f>
        <v>0</v>
      </c>
      <c r="I35" s="34" t="n">
        <f aca="false">予算原本_白鳥惣菜!H31</f>
        <v>0</v>
      </c>
      <c r="J35" s="34" t="n">
        <f aca="false">予算原本_白鳥惣菜!I31</f>
        <v>0</v>
      </c>
      <c r="K35" s="34" t="n">
        <f aca="false">予算原本_白鳥惣菜!J31</f>
        <v>0</v>
      </c>
      <c r="L35" s="34" t="n">
        <f aca="false">予算原本_白鳥惣菜!K31</f>
        <v>0</v>
      </c>
      <c r="M35" s="34" t="n">
        <f aca="false">予算原本_白鳥惣菜!L31</f>
        <v>0</v>
      </c>
      <c r="N35" s="34" t="n">
        <f aca="false">予算原本_白鳥惣菜!M31</f>
        <v>0</v>
      </c>
      <c r="O35" s="93" t="n">
        <f aca="false">SUM(C35:N35)</f>
        <v>0</v>
      </c>
      <c r="P35" s="93" t="n">
        <f aca="false">SUM(I35:N35)</f>
        <v>0</v>
      </c>
    </row>
    <row r="36" customFormat="false" ht="15" hidden="false" customHeight="false" outlineLevel="0" collapsed="false">
      <c r="B36" s="12" t="s">
        <v>348</v>
      </c>
      <c r="C36" s="106" t="n">
        <f aca="false">予算原本_白鳥惣菜!B32</f>
        <v>2069.6</v>
      </c>
      <c r="D36" s="106" t="n">
        <f aca="false">予算原本_白鳥惣菜!C32</f>
        <v>2069.6</v>
      </c>
      <c r="E36" s="106" t="n">
        <f aca="false">予算原本_白鳥惣菜!D32</f>
        <v>2069.6</v>
      </c>
      <c r="F36" s="106" t="n">
        <f aca="false">予算原本_白鳥惣菜!E32</f>
        <v>2069.6</v>
      </c>
      <c r="G36" s="106" t="n">
        <f aca="false">予算原本_白鳥惣菜!F32</f>
        <v>2069.6</v>
      </c>
      <c r="H36" s="106" t="n">
        <f aca="false">予算原本_白鳥惣菜!G32</f>
        <v>2069.6</v>
      </c>
      <c r="I36" s="106" t="n">
        <f aca="false">予算原本_白鳥惣菜!H32</f>
        <v>2069.6</v>
      </c>
      <c r="J36" s="106" t="n">
        <f aca="false">予算原本_白鳥惣菜!I32</f>
        <v>2069.6</v>
      </c>
      <c r="K36" s="106" t="n">
        <f aca="false">予算原本_白鳥惣菜!J32</f>
        <v>2069.6</v>
      </c>
      <c r="L36" s="106" t="n">
        <f aca="false">予算原本_白鳥惣菜!K32</f>
        <v>2069.6</v>
      </c>
      <c r="M36" s="106" t="n">
        <f aca="false">予算原本_白鳥惣菜!L32</f>
        <v>2069.6</v>
      </c>
      <c r="N36" s="106" t="n">
        <f aca="false">予算原本_白鳥惣菜!M32</f>
        <v>2069.6</v>
      </c>
      <c r="O36" s="93" t="n">
        <f aca="false">SUM(C36:N36)</f>
        <v>24835.2</v>
      </c>
      <c r="P36" s="93" t="n">
        <f aca="false">SUM(I36:N36)</f>
        <v>12417.6</v>
      </c>
    </row>
    <row r="37" customFormat="false" ht="15" hidden="false" customHeight="false" outlineLevel="1" collapsed="false">
      <c r="B37" s="5" t="s">
        <v>349</v>
      </c>
      <c r="C37" s="34" t="n">
        <f aca="false">予算原本_白鳥惣菜!B33</f>
        <v>0</v>
      </c>
      <c r="D37" s="34" t="n">
        <f aca="false">予算原本_白鳥惣菜!C33</f>
        <v>0</v>
      </c>
      <c r="E37" s="34" t="n">
        <f aca="false">予算原本_白鳥惣菜!D33</f>
        <v>0</v>
      </c>
      <c r="F37" s="34" t="n">
        <f aca="false">予算原本_白鳥惣菜!E33</f>
        <v>0</v>
      </c>
      <c r="G37" s="34" t="n">
        <f aca="false">予算原本_白鳥惣菜!F33</f>
        <v>0</v>
      </c>
      <c r="H37" s="34" t="n">
        <f aca="false">予算原本_白鳥惣菜!G33</f>
        <v>0</v>
      </c>
      <c r="I37" s="34" t="n">
        <f aca="false">予算原本_白鳥惣菜!H33</f>
        <v>0</v>
      </c>
      <c r="J37" s="34" t="n">
        <f aca="false">予算原本_白鳥惣菜!I33</f>
        <v>0</v>
      </c>
      <c r="K37" s="34" t="n">
        <f aca="false">予算原本_白鳥惣菜!J33</f>
        <v>0</v>
      </c>
      <c r="L37" s="34" t="n">
        <f aca="false">予算原本_白鳥惣菜!K33</f>
        <v>0</v>
      </c>
      <c r="M37" s="34" t="n">
        <f aca="false">予算原本_白鳥惣菜!L33</f>
        <v>0</v>
      </c>
      <c r="N37" s="34" t="n">
        <f aca="false">予算原本_白鳥惣菜!M33</f>
        <v>0</v>
      </c>
      <c r="O37" s="93" t="n">
        <f aca="false">SUM(C37:N37)</f>
        <v>0</v>
      </c>
      <c r="P37" s="93" t="n">
        <f aca="false">SUM(I37:N37)</f>
        <v>0</v>
      </c>
    </row>
    <row r="38" customFormat="false" ht="15" hidden="false" customHeight="false" outlineLevel="1" collapsed="false">
      <c r="B38" s="5" t="s">
        <v>350</v>
      </c>
      <c r="C38" s="34" t="n">
        <f aca="false">予算原本_白鳥惣菜!B34</f>
        <v>632</v>
      </c>
      <c r="D38" s="34" t="n">
        <f aca="false">予算原本_白鳥惣菜!C34</f>
        <v>632</v>
      </c>
      <c r="E38" s="34" t="n">
        <f aca="false">予算原本_白鳥惣菜!D34</f>
        <v>632</v>
      </c>
      <c r="F38" s="34" t="n">
        <f aca="false">予算原本_白鳥惣菜!E34</f>
        <v>632</v>
      </c>
      <c r="G38" s="34" t="n">
        <f aca="false">予算原本_白鳥惣菜!F34</f>
        <v>632</v>
      </c>
      <c r="H38" s="34" t="n">
        <f aca="false">予算原本_白鳥惣菜!G34</f>
        <v>632</v>
      </c>
      <c r="I38" s="34" t="n">
        <f aca="false">予算原本_白鳥惣菜!H34</f>
        <v>632</v>
      </c>
      <c r="J38" s="34" t="n">
        <f aca="false">予算原本_白鳥惣菜!I34</f>
        <v>632</v>
      </c>
      <c r="K38" s="34" t="n">
        <f aca="false">予算原本_白鳥惣菜!J34</f>
        <v>632</v>
      </c>
      <c r="L38" s="34" t="n">
        <f aca="false">予算原本_白鳥惣菜!K34</f>
        <v>632</v>
      </c>
      <c r="M38" s="34" t="n">
        <f aca="false">予算原本_白鳥惣菜!L34</f>
        <v>632</v>
      </c>
      <c r="N38" s="34" t="n">
        <f aca="false">予算原本_白鳥惣菜!M34</f>
        <v>632</v>
      </c>
      <c r="O38" s="93" t="n">
        <f aca="false">SUM(C38:N38)</f>
        <v>7584</v>
      </c>
      <c r="P38" s="93" t="n">
        <f aca="false">SUM(I38:N38)</f>
        <v>3792</v>
      </c>
    </row>
    <row r="39" customFormat="false" ht="15" hidden="false" customHeight="false" outlineLevel="1" collapsed="false">
      <c r="B39" s="5" t="s">
        <v>351</v>
      </c>
      <c r="C39" s="34" t="n">
        <f aca="false">予算原本_白鳥惣菜!B35</f>
        <v>1437.6</v>
      </c>
      <c r="D39" s="34" t="n">
        <f aca="false">予算原本_白鳥惣菜!C35</f>
        <v>1437.6</v>
      </c>
      <c r="E39" s="34" t="n">
        <f aca="false">予算原本_白鳥惣菜!D35</f>
        <v>1437.6</v>
      </c>
      <c r="F39" s="34" t="n">
        <f aca="false">予算原本_白鳥惣菜!E35</f>
        <v>1437.6</v>
      </c>
      <c r="G39" s="34" t="n">
        <f aca="false">予算原本_白鳥惣菜!F35</f>
        <v>1437.6</v>
      </c>
      <c r="H39" s="34" t="n">
        <f aca="false">予算原本_白鳥惣菜!G35</f>
        <v>1437.6</v>
      </c>
      <c r="I39" s="34" t="n">
        <f aca="false">予算原本_白鳥惣菜!H35</f>
        <v>1437.6</v>
      </c>
      <c r="J39" s="34" t="n">
        <f aca="false">予算原本_白鳥惣菜!I35</f>
        <v>1437.6</v>
      </c>
      <c r="K39" s="34" t="n">
        <f aca="false">予算原本_白鳥惣菜!J35</f>
        <v>1437.6</v>
      </c>
      <c r="L39" s="34" t="n">
        <f aca="false">予算原本_白鳥惣菜!K35</f>
        <v>1437.6</v>
      </c>
      <c r="M39" s="34" t="n">
        <f aca="false">予算原本_白鳥惣菜!L35</f>
        <v>1437.6</v>
      </c>
      <c r="N39" s="34" t="n">
        <f aca="false">予算原本_白鳥惣菜!M35</f>
        <v>1437.6</v>
      </c>
      <c r="O39" s="93" t="n">
        <f aca="false">SUM(C39:N39)</f>
        <v>17251.2</v>
      </c>
      <c r="P39" s="93" t="n">
        <f aca="false">SUM(I39:N39)</f>
        <v>8625.6</v>
      </c>
    </row>
    <row r="40" customFormat="false" ht="15" hidden="false" customHeight="false" outlineLevel="0" collapsed="false">
      <c r="B40" s="12" t="s">
        <v>352</v>
      </c>
      <c r="C40" s="106" t="n">
        <f aca="false">予算原本_白鳥惣菜!B36</f>
        <v>79634.1467</v>
      </c>
      <c r="D40" s="106" t="n">
        <f aca="false">予算原本_白鳥惣菜!C36</f>
        <v>85862.7764</v>
      </c>
      <c r="E40" s="106" t="n">
        <f aca="false">予算原本_白鳥惣菜!D36</f>
        <v>71626.215</v>
      </c>
      <c r="F40" s="106" t="n">
        <f aca="false">予算原本_白鳥惣菜!E36</f>
        <v>75996.9078</v>
      </c>
      <c r="G40" s="106" t="n">
        <f aca="false">予算原本_白鳥惣菜!F36</f>
        <v>73366.4724</v>
      </c>
      <c r="H40" s="106" t="n">
        <f aca="false">予算原本_白鳥惣菜!G36</f>
        <v>85549.8789</v>
      </c>
      <c r="I40" s="106" t="n">
        <f aca="false">予算原本_白鳥惣菜!H36</f>
        <v>74334.1591</v>
      </c>
      <c r="J40" s="106" t="n">
        <f aca="false">予算原本_白鳥惣菜!I36</f>
        <v>72606.2817</v>
      </c>
      <c r="K40" s="106" t="n">
        <f aca="false">予算原本_白鳥惣菜!J36</f>
        <v>85296.8617</v>
      </c>
      <c r="L40" s="106" t="n">
        <f aca="false">予算原本_白鳥惣菜!K36</f>
        <v>79623.9617</v>
      </c>
      <c r="M40" s="106" t="n">
        <f aca="false">予算原本_白鳥惣菜!L36</f>
        <v>78769.9617</v>
      </c>
      <c r="N40" s="106" t="n">
        <f aca="false">予算原本_白鳥惣菜!M36</f>
        <v>78291.9617</v>
      </c>
      <c r="O40" s="93" t="n">
        <f aca="false">SUM(C40:N40)</f>
        <v>940959.5848</v>
      </c>
      <c r="P40" s="93" t="n">
        <f aca="false">SUM(I40:N40)</f>
        <v>468923.1876</v>
      </c>
    </row>
    <row r="41" customFormat="false" ht="15" hidden="false" customHeight="false" outlineLevel="1" collapsed="false">
      <c r="B41" s="5" t="s">
        <v>353</v>
      </c>
      <c r="C41" s="34" t="n">
        <f aca="false">予算原本_白鳥惣菜!B37</f>
        <v>7500</v>
      </c>
      <c r="D41" s="34" t="n">
        <f aca="false">予算原本_白鳥惣菜!C37</f>
        <v>8000</v>
      </c>
      <c r="E41" s="34" t="n">
        <f aca="false">予算原本_白鳥惣菜!D37</f>
        <v>1500</v>
      </c>
      <c r="F41" s="34" t="n">
        <f aca="false">予算原本_白鳥惣菜!E37</f>
        <v>3650</v>
      </c>
      <c r="G41" s="34" t="n">
        <f aca="false">予算原本_白鳥惣菜!F37</f>
        <v>1000</v>
      </c>
      <c r="H41" s="34" t="n">
        <f aca="false">予算原本_白鳥惣菜!G37</f>
        <v>7500</v>
      </c>
      <c r="I41" s="34" t="n">
        <f aca="false">予算原本_白鳥惣菜!H37</f>
        <v>1500</v>
      </c>
      <c r="J41" s="34" t="n">
        <f aca="false">予算原本_白鳥惣菜!I37</f>
        <v>2000</v>
      </c>
      <c r="K41" s="34" t="n">
        <f aca="false">予算原本_白鳥惣菜!J37</f>
        <v>9000</v>
      </c>
      <c r="L41" s="34" t="n">
        <f aca="false">予算原本_白鳥惣菜!K37</f>
        <v>5750</v>
      </c>
      <c r="M41" s="34" t="n">
        <f aca="false">予算原本_白鳥惣菜!L37</f>
        <v>4250</v>
      </c>
      <c r="N41" s="34" t="n">
        <f aca="false">予算原本_白鳥惣菜!M37</f>
        <v>4250</v>
      </c>
      <c r="O41" s="93" t="n">
        <f aca="false">SUM(C41:N41)</f>
        <v>55900</v>
      </c>
      <c r="P41" s="93" t="n">
        <f aca="false">SUM(I41:N41)</f>
        <v>26750</v>
      </c>
    </row>
    <row r="42" customFormat="false" ht="15" hidden="false" customHeight="false" outlineLevel="1" collapsed="false">
      <c r="B42" s="5" t="s">
        <v>354</v>
      </c>
      <c r="C42" s="34" t="n">
        <f aca="false">予算原本_白鳥惣菜!B38</f>
        <v>0</v>
      </c>
      <c r="D42" s="34" t="n">
        <f aca="false">予算原本_白鳥惣菜!C38</f>
        <v>0</v>
      </c>
      <c r="E42" s="34" t="n">
        <f aca="false">予算原本_白鳥惣菜!D38</f>
        <v>0</v>
      </c>
      <c r="F42" s="34" t="n">
        <f aca="false">予算原本_白鳥惣菜!E38</f>
        <v>0</v>
      </c>
      <c r="G42" s="34" t="n">
        <f aca="false">予算原本_白鳥惣菜!F38</f>
        <v>0</v>
      </c>
      <c r="H42" s="34" t="n">
        <f aca="false">予算原本_白鳥惣菜!G38</f>
        <v>0</v>
      </c>
      <c r="I42" s="34" t="n">
        <f aca="false">予算原本_白鳥惣菜!H38</f>
        <v>0</v>
      </c>
      <c r="J42" s="34" t="n">
        <f aca="false">予算原本_白鳥惣菜!I38</f>
        <v>0</v>
      </c>
      <c r="K42" s="34" t="n">
        <f aca="false">予算原本_白鳥惣菜!J38</f>
        <v>0</v>
      </c>
      <c r="L42" s="34" t="n">
        <f aca="false">予算原本_白鳥惣菜!K38</f>
        <v>0</v>
      </c>
      <c r="M42" s="34" t="n">
        <f aca="false">予算原本_白鳥惣菜!L38</f>
        <v>0</v>
      </c>
      <c r="N42" s="34" t="n">
        <f aca="false">予算原本_白鳥惣菜!M38</f>
        <v>0</v>
      </c>
      <c r="O42" s="93" t="n">
        <f aca="false">SUM(C42:N42)</f>
        <v>0</v>
      </c>
      <c r="P42" s="93" t="n">
        <f aca="false">SUM(I42:N42)</f>
        <v>0</v>
      </c>
    </row>
    <row r="43" customFormat="false" ht="15" hidden="false" customHeight="false" outlineLevel="1" collapsed="false">
      <c r="B43" s="5" t="s">
        <v>355</v>
      </c>
      <c r="C43" s="34" t="n">
        <f aca="false">予算原本_白鳥惣菜!B39</f>
        <v>2000</v>
      </c>
      <c r="D43" s="34" t="n">
        <f aca="false">予算原本_白鳥惣菜!C39</f>
        <v>4800</v>
      </c>
      <c r="E43" s="34" t="n">
        <f aca="false">予算原本_白鳥惣菜!D39</f>
        <v>600</v>
      </c>
      <c r="F43" s="34" t="n">
        <f aca="false">予算原本_白鳥惣菜!E39</f>
        <v>1230</v>
      </c>
      <c r="G43" s="34" t="n">
        <f aca="false">予算原本_白鳥惣菜!F39</f>
        <v>600</v>
      </c>
      <c r="H43" s="34" t="n">
        <f aca="false">予算原本_白鳥惣菜!G39</f>
        <v>1230</v>
      </c>
      <c r="I43" s="34" t="n">
        <f aca="false">予算原本_白鳥惣菜!H39</f>
        <v>370</v>
      </c>
      <c r="J43" s="34" t="n">
        <f aca="false">予算原本_白鳥惣菜!I39</f>
        <v>500</v>
      </c>
      <c r="K43" s="34" t="n">
        <f aca="false">予算原本_白鳥惣菜!J39</f>
        <v>960</v>
      </c>
      <c r="L43" s="34" t="n">
        <f aca="false">予算原本_白鳥惣菜!K39</f>
        <v>760</v>
      </c>
      <c r="M43" s="34" t="n">
        <f aca="false">予算原本_白鳥惣菜!L39</f>
        <v>760</v>
      </c>
      <c r="N43" s="34" t="n">
        <f aca="false">予算原本_白鳥惣菜!M39</f>
        <v>760</v>
      </c>
      <c r="O43" s="93" t="n">
        <f aca="false">SUM(C43:N43)</f>
        <v>14570</v>
      </c>
      <c r="P43" s="93" t="n">
        <f aca="false">SUM(I43:N43)</f>
        <v>4110</v>
      </c>
    </row>
    <row r="44" customFormat="false" ht="15" hidden="false" customHeight="false" outlineLevel="1" collapsed="false">
      <c r="B44" s="5" t="s">
        <v>356</v>
      </c>
      <c r="C44" s="34" t="n">
        <f aca="false">予算原本_白鳥惣菜!B40</f>
        <v>0</v>
      </c>
      <c r="D44" s="34" t="n">
        <f aca="false">予算原本_白鳥惣菜!C40</f>
        <v>0</v>
      </c>
      <c r="E44" s="34" t="n">
        <f aca="false">予算原本_白鳥惣菜!D40</f>
        <v>0</v>
      </c>
      <c r="F44" s="34" t="n">
        <f aca="false">予算原本_白鳥惣菜!E40</f>
        <v>0</v>
      </c>
      <c r="G44" s="34" t="n">
        <f aca="false">予算原本_白鳥惣菜!F40</f>
        <v>0</v>
      </c>
      <c r="H44" s="34" t="n">
        <f aca="false">予算原本_白鳥惣菜!G40</f>
        <v>0</v>
      </c>
      <c r="I44" s="34" t="n">
        <f aca="false">予算原本_白鳥惣菜!H40</f>
        <v>0</v>
      </c>
      <c r="J44" s="34" t="n">
        <f aca="false">予算原本_白鳥惣菜!I40</f>
        <v>0</v>
      </c>
      <c r="K44" s="34" t="n">
        <f aca="false">予算原本_白鳥惣菜!J40</f>
        <v>0</v>
      </c>
      <c r="L44" s="34" t="n">
        <f aca="false">予算原本_白鳥惣菜!K40</f>
        <v>0</v>
      </c>
      <c r="M44" s="34" t="n">
        <f aca="false">予算原本_白鳥惣菜!L40</f>
        <v>0</v>
      </c>
      <c r="N44" s="34" t="n">
        <f aca="false">予算原本_白鳥惣菜!M40</f>
        <v>0</v>
      </c>
      <c r="O44" s="93" t="n">
        <f aca="false">SUM(C44:N44)</f>
        <v>0</v>
      </c>
      <c r="P44" s="93" t="n">
        <f aca="false">SUM(I44:N44)</f>
        <v>0</v>
      </c>
    </row>
    <row r="45" customFormat="false" ht="15" hidden="false" customHeight="false" outlineLevel="1" collapsed="false">
      <c r="B45" s="5" t="s">
        <v>357</v>
      </c>
      <c r="C45" s="34" t="n">
        <f aca="false">予算原本_白鳥惣菜!B41</f>
        <v>0</v>
      </c>
      <c r="D45" s="34" t="n">
        <f aca="false">予算原本_白鳥惣菜!C41</f>
        <v>0</v>
      </c>
      <c r="E45" s="34" t="n">
        <f aca="false">予算原本_白鳥惣菜!D41</f>
        <v>0</v>
      </c>
      <c r="F45" s="34" t="n">
        <f aca="false">予算原本_白鳥惣菜!E41</f>
        <v>0</v>
      </c>
      <c r="G45" s="34" t="n">
        <f aca="false">予算原本_白鳥惣菜!F41</f>
        <v>0</v>
      </c>
      <c r="H45" s="34" t="n">
        <f aca="false">予算原本_白鳥惣菜!G41</f>
        <v>0</v>
      </c>
      <c r="I45" s="34" t="n">
        <f aca="false">予算原本_白鳥惣菜!H41</f>
        <v>0</v>
      </c>
      <c r="J45" s="34" t="n">
        <f aca="false">予算原本_白鳥惣菜!I41</f>
        <v>0</v>
      </c>
      <c r="K45" s="34" t="n">
        <f aca="false">予算原本_白鳥惣菜!J41</f>
        <v>0</v>
      </c>
      <c r="L45" s="34" t="n">
        <f aca="false">予算原本_白鳥惣菜!K41</f>
        <v>0</v>
      </c>
      <c r="M45" s="34" t="n">
        <f aca="false">予算原本_白鳥惣菜!L41</f>
        <v>0</v>
      </c>
      <c r="N45" s="34" t="n">
        <f aca="false">予算原本_白鳥惣菜!M41</f>
        <v>0</v>
      </c>
      <c r="O45" s="93" t="n">
        <f aca="false">SUM(C45:N45)</f>
        <v>0</v>
      </c>
      <c r="P45" s="93" t="n">
        <f aca="false">SUM(I45:N45)</f>
        <v>0</v>
      </c>
    </row>
    <row r="46" customFormat="false" ht="15" hidden="false" customHeight="false" outlineLevel="1" collapsed="false">
      <c r="B46" s="5" t="s">
        <v>358</v>
      </c>
      <c r="C46" s="34" t="n">
        <f aca="false">予算原本_白鳥惣菜!B42</f>
        <v>90</v>
      </c>
      <c r="D46" s="34" t="n">
        <f aca="false">予算原本_白鳥惣菜!C42</f>
        <v>90</v>
      </c>
      <c r="E46" s="34" t="n">
        <f aca="false">予算原本_白鳥惣菜!D42</f>
        <v>90</v>
      </c>
      <c r="F46" s="34" t="n">
        <f aca="false">予算原本_白鳥惣菜!E42</f>
        <v>90</v>
      </c>
      <c r="G46" s="34" t="n">
        <f aca="false">予算原本_白鳥惣菜!F42</f>
        <v>90</v>
      </c>
      <c r="H46" s="34" t="n">
        <f aca="false">予算原本_白鳥惣菜!G42</f>
        <v>90</v>
      </c>
      <c r="I46" s="34" t="n">
        <f aca="false">予算原本_白鳥惣菜!H42</f>
        <v>90</v>
      </c>
      <c r="J46" s="34" t="n">
        <f aca="false">予算原本_白鳥惣菜!I42</f>
        <v>90</v>
      </c>
      <c r="K46" s="34" t="n">
        <f aca="false">予算原本_白鳥惣菜!J42</f>
        <v>120</v>
      </c>
      <c r="L46" s="34" t="n">
        <f aca="false">予算原本_白鳥惣菜!K42</f>
        <v>90</v>
      </c>
      <c r="M46" s="34" t="n">
        <f aca="false">予算原本_白鳥惣菜!L42</f>
        <v>90</v>
      </c>
      <c r="N46" s="34" t="n">
        <f aca="false">予算原本_白鳥惣菜!M42</f>
        <v>250</v>
      </c>
      <c r="O46" s="93" t="n">
        <f aca="false">SUM(C46:N46)</f>
        <v>1270</v>
      </c>
      <c r="P46" s="93" t="n">
        <f aca="false">SUM(I46:N46)</f>
        <v>730</v>
      </c>
    </row>
    <row r="47" customFormat="false" ht="15" hidden="false" customHeight="false" outlineLevel="1" collapsed="false">
      <c r="B47" s="5" t="s">
        <v>359</v>
      </c>
      <c r="C47" s="34" t="n">
        <f aca="false">予算原本_白鳥惣菜!B43</f>
        <v>126</v>
      </c>
      <c r="D47" s="34" t="n">
        <f aca="false">予算原本_白鳥惣菜!C43</f>
        <v>126</v>
      </c>
      <c r="E47" s="34" t="n">
        <f aca="false">予算原本_白鳥惣菜!D43</f>
        <v>126</v>
      </c>
      <c r="F47" s="34" t="n">
        <f aca="false">予算原本_白鳥惣菜!E43</f>
        <v>126</v>
      </c>
      <c r="G47" s="34" t="n">
        <f aca="false">予算原本_白鳥惣菜!F43</f>
        <v>126</v>
      </c>
      <c r="H47" s="34" t="n">
        <f aca="false">予算原本_白鳥惣菜!G43</f>
        <v>126</v>
      </c>
      <c r="I47" s="34" t="n">
        <f aca="false">予算原本_白鳥惣菜!H43</f>
        <v>126</v>
      </c>
      <c r="J47" s="34" t="n">
        <f aca="false">予算原本_白鳥惣菜!I43</f>
        <v>126</v>
      </c>
      <c r="K47" s="34" t="n">
        <f aca="false">予算原本_白鳥惣菜!J43</f>
        <v>126</v>
      </c>
      <c r="L47" s="34" t="n">
        <f aca="false">予算原本_白鳥惣菜!K43</f>
        <v>126</v>
      </c>
      <c r="M47" s="34" t="n">
        <f aca="false">予算原本_白鳥惣菜!L43</f>
        <v>126</v>
      </c>
      <c r="N47" s="34" t="n">
        <f aca="false">予算原本_白鳥惣菜!M43</f>
        <v>126</v>
      </c>
      <c r="O47" s="93" t="n">
        <f aca="false">SUM(C47:N47)</f>
        <v>1512</v>
      </c>
      <c r="P47" s="93" t="n">
        <f aca="false">SUM(I47:N47)</f>
        <v>756</v>
      </c>
    </row>
    <row r="48" customFormat="false" ht="15" hidden="false" customHeight="false" outlineLevel="1" collapsed="false">
      <c r="B48" s="5" t="s">
        <v>360</v>
      </c>
      <c r="C48" s="34" t="n">
        <f aca="false">予算原本_白鳥惣菜!B44</f>
        <v>10933</v>
      </c>
      <c r="D48" s="34" t="n">
        <f aca="false">予算原本_白鳥惣菜!C44</f>
        <v>11433</v>
      </c>
      <c r="E48" s="34" t="n">
        <f aca="false">予算原本_白鳥惣菜!D44</f>
        <v>10933</v>
      </c>
      <c r="F48" s="34" t="n">
        <f aca="false">予算原本_白鳥惣菜!E44</f>
        <v>10933</v>
      </c>
      <c r="G48" s="34" t="n">
        <f aca="false">予算原本_白鳥惣菜!F44</f>
        <v>11433</v>
      </c>
      <c r="H48" s="34" t="n">
        <f aca="false">予算原本_白鳥惣菜!G44</f>
        <v>11633</v>
      </c>
      <c r="I48" s="34" t="n">
        <f aca="false">予算原本_白鳥惣菜!H44</f>
        <v>11433</v>
      </c>
      <c r="J48" s="34" t="n">
        <f aca="false">予算原本_白鳥惣菜!I44</f>
        <v>10933</v>
      </c>
      <c r="K48" s="34" t="n">
        <f aca="false">予算原本_白鳥惣菜!J44</f>
        <v>11433</v>
      </c>
      <c r="L48" s="34" t="n">
        <f aca="false">予算原本_白鳥惣菜!K44</f>
        <v>10933</v>
      </c>
      <c r="M48" s="34" t="n">
        <f aca="false">予算原本_白鳥惣菜!L44</f>
        <v>10933</v>
      </c>
      <c r="N48" s="34" t="n">
        <f aca="false">予算原本_白鳥惣菜!M44</f>
        <v>10933</v>
      </c>
      <c r="O48" s="93" t="n">
        <f aca="false">SUM(C48:N48)</f>
        <v>133896</v>
      </c>
      <c r="P48" s="93" t="n">
        <f aca="false">SUM(I48:N48)</f>
        <v>66598</v>
      </c>
    </row>
    <row r="49" customFormat="false" ht="15" hidden="false" customHeight="false" outlineLevel="1" collapsed="false">
      <c r="B49" s="5" t="s">
        <v>361</v>
      </c>
      <c r="C49" s="34" t="n">
        <f aca="false">予算原本_白鳥惣菜!B45</f>
        <v>0</v>
      </c>
      <c r="D49" s="34" t="n">
        <f aca="false">予算原本_白鳥惣菜!C45</f>
        <v>0</v>
      </c>
      <c r="E49" s="34" t="n">
        <f aca="false">予算原本_白鳥惣菜!D45</f>
        <v>0</v>
      </c>
      <c r="F49" s="34" t="n">
        <f aca="false">予算原本_白鳥惣菜!E45</f>
        <v>0</v>
      </c>
      <c r="G49" s="34" t="n">
        <f aca="false">予算原本_白鳥惣菜!F45</f>
        <v>0</v>
      </c>
      <c r="H49" s="34" t="n">
        <f aca="false">予算原本_白鳥惣菜!G45</f>
        <v>0</v>
      </c>
      <c r="I49" s="34" t="n">
        <f aca="false">予算原本_白鳥惣菜!H45</f>
        <v>0</v>
      </c>
      <c r="J49" s="34" t="n">
        <f aca="false">予算原本_白鳥惣菜!I45</f>
        <v>0</v>
      </c>
      <c r="K49" s="34" t="n">
        <f aca="false">予算原本_白鳥惣菜!J45</f>
        <v>0</v>
      </c>
      <c r="L49" s="34" t="n">
        <f aca="false">予算原本_白鳥惣菜!K45</f>
        <v>0</v>
      </c>
      <c r="M49" s="34" t="n">
        <f aca="false">予算原本_白鳥惣菜!L45</f>
        <v>0</v>
      </c>
      <c r="N49" s="34" t="n">
        <f aca="false">予算原本_白鳥惣菜!M45</f>
        <v>0</v>
      </c>
      <c r="O49" s="93" t="n">
        <f aca="false">SUM(C49:N49)</f>
        <v>0</v>
      </c>
      <c r="P49" s="93" t="n">
        <f aca="false">SUM(I49:N49)</f>
        <v>0</v>
      </c>
    </row>
    <row r="50" customFormat="false" ht="15" hidden="false" customHeight="false" outlineLevel="1" collapsed="false">
      <c r="B50" s="5" t="s">
        <v>362</v>
      </c>
      <c r="C50" s="34" t="n">
        <f aca="false">予算原本_白鳥惣菜!B46</f>
        <v>37971.96</v>
      </c>
      <c r="D50" s="34" t="n">
        <f aca="false">予算原本_白鳥惣菜!C46</f>
        <v>40333.9231</v>
      </c>
      <c r="E50" s="34" t="n">
        <f aca="false">予算原本_白鳥惣菜!D46</f>
        <v>36034.32</v>
      </c>
      <c r="F50" s="34" t="n">
        <f aca="false">予算原本_白鳥惣菜!E46</f>
        <v>37235.6795</v>
      </c>
      <c r="G50" s="34" t="n">
        <f aca="false">予算原本_白鳥惣菜!F46</f>
        <v>36164.2441</v>
      </c>
      <c r="H50" s="34" t="n">
        <f aca="false">予算原本_白鳥惣菜!G46</f>
        <v>40835.3172</v>
      </c>
      <c r="I50" s="34" t="n">
        <f aca="false">予算原本_白鳥惣菜!H46</f>
        <v>37124.5974</v>
      </c>
      <c r="J50" s="34" t="n">
        <f aca="false">予算原本_白鳥惣菜!I46</f>
        <v>35166.72</v>
      </c>
      <c r="K50" s="34" t="n">
        <f aca="false">予算原本_白鳥惣菜!J46</f>
        <v>39837.3</v>
      </c>
      <c r="L50" s="34" t="n">
        <f aca="false">予算原本_白鳥惣菜!K46</f>
        <v>38174.4</v>
      </c>
      <c r="M50" s="34" t="n">
        <f aca="false">予算原本_白鳥惣菜!L46</f>
        <v>38656.4</v>
      </c>
      <c r="N50" s="34" t="n">
        <f aca="false">予算原本_白鳥惣菜!M46</f>
        <v>37451.4</v>
      </c>
      <c r="O50" s="93" t="n">
        <f aca="false">SUM(C50:N50)</f>
        <v>454986.2613</v>
      </c>
      <c r="P50" s="93" t="n">
        <f aca="false">SUM(I50:N50)</f>
        <v>226410.8174</v>
      </c>
    </row>
    <row r="51" customFormat="false" ht="15" hidden="false" customHeight="false" outlineLevel="1" collapsed="false">
      <c r="B51" s="5" t="s">
        <v>363</v>
      </c>
      <c r="C51" s="107" t="n">
        <f aca="false">予算原本_白鳥惣菜!B47</f>
        <v>0</v>
      </c>
      <c r="D51" s="107" t="n">
        <f aca="false">予算原本_白鳥惣菜!C47</f>
        <v>0</v>
      </c>
      <c r="E51" s="107" t="n">
        <f aca="false">予算原本_白鳥惣菜!D47</f>
        <v>0</v>
      </c>
      <c r="F51" s="107" t="n">
        <f aca="false">予算原本_白鳥惣菜!E47</f>
        <v>0</v>
      </c>
      <c r="G51" s="107" t="n">
        <f aca="false">予算原本_白鳥惣菜!F47</f>
        <v>0</v>
      </c>
      <c r="H51" s="107" t="n">
        <f aca="false">予算原本_白鳥惣菜!G47</f>
        <v>0</v>
      </c>
      <c r="I51" s="107" t="n">
        <f aca="false">予算原本_白鳥惣菜!H47</f>
        <v>0</v>
      </c>
      <c r="J51" s="107" t="n">
        <f aca="false">予算原本_白鳥惣菜!I47</f>
        <v>0</v>
      </c>
      <c r="K51" s="107" t="n">
        <f aca="false">予算原本_白鳥惣菜!J47</f>
        <v>0</v>
      </c>
      <c r="L51" s="107" t="n">
        <f aca="false">予算原本_白鳥惣菜!K47</f>
        <v>0</v>
      </c>
      <c r="M51" s="107" t="n">
        <f aca="false">予算原本_白鳥惣菜!L47</f>
        <v>0</v>
      </c>
      <c r="N51" s="107" t="n">
        <f aca="false">予算原本_白鳥惣菜!M47</f>
        <v>0</v>
      </c>
      <c r="O51" s="108" t="n">
        <f aca="false">IF(O49=0,0,O50/O49)</f>
        <v>0</v>
      </c>
      <c r="P51" s="108" t="n">
        <f aca="false">IF(P49=0,0,P50/P49)</f>
        <v>0</v>
      </c>
    </row>
    <row r="52" customFormat="false" ht="15" hidden="false" customHeight="false" outlineLevel="1" collapsed="false">
      <c r="B52" s="5" t="s">
        <v>364</v>
      </c>
      <c r="C52" s="107" t="n">
        <f aca="false">予算原本_白鳥惣菜!B48</f>
        <v>0</v>
      </c>
      <c r="D52" s="107" t="n">
        <f aca="false">予算原本_白鳥惣菜!C48</f>
        <v>0</v>
      </c>
      <c r="E52" s="107" t="n">
        <f aca="false">予算原本_白鳥惣菜!D48</f>
        <v>0</v>
      </c>
      <c r="F52" s="107" t="n">
        <f aca="false">予算原本_白鳥惣菜!E48</f>
        <v>0</v>
      </c>
      <c r="G52" s="107" t="n">
        <f aca="false">予算原本_白鳥惣菜!F48</f>
        <v>0</v>
      </c>
      <c r="H52" s="107" t="n">
        <f aca="false">予算原本_白鳥惣菜!G48</f>
        <v>0</v>
      </c>
      <c r="I52" s="107" t="n">
        <f aca="false">予算原本_白鳥惣菜!H48</f>
        <v>0</v>
      </c>
      <c r="J52" s="107" t="n">
        <f aca="false">予算原本_白鳥惣菜!I48</f>
        <v>0</v>
      </c>
      <c r="K52" s="107" t="n">
        <f aca="false">予算原本_白鳥惣菜!J48</f>
        <v>0</v>
      </c>
      <c r="L52" s="107" t="n">
        <f aca="false">予算原本_白鳥惣菜!K48</f>
        <v>0</v>
      </c>
      <c r="M52" s="107" t="n">
        <f aca="false">予算原本_白鳥惣菜!L48</f>
        <v>0</v>
      </c>
      <c r="N52" s="107" t="n">
        <f aca="false">予算原本_白鳥惣菜!M48</f>
        <v>0</v>
      </c>
      <c r="O52" s="108" t="n">
        <f aca="false">IF(O50=0,0,O51/O50)</f>
        <v>0</v>
      </c>
      <c r="P52" s="108" t="n">
        <f aca="false">IF(P50=0,0,P51/P50)</f>
        <v>0</v>
      </c>
    </row>
    <row r="53" customFormat="false" ht="15" hidden="false" customHeight="false" outlineLevel="1" collapsed="false">
      <c r="B53" s="5" t="s">
        <v>365</v>
      </c>
      <c r="C53" s="34" t="n">
        <f aca="false">予算原本_白鳥惣菜!B49</f>
        <v>8837</v>
      </c>
      <c r="D53" s="34" t="n">
        <f aca="false">予算原本_白鳥惣菜!C49</f>
        <v>8837</v>
      </c>
      <c r="E53" s="34" t="n">
        <f aca="false">予算原本_白鳥惣菜!D49</f>
        <v>8837</v>
      </c>
      <c r="F53" s="34" t="n">
        <f aca="false">予算原本_白鳥惣菜!E49</f>
        <v>8837</v>
      </c>
      <c r="G53" s="34" t="n">
        <f aca="false">予算原本_白鳥惣菜!F49</f>
        <v>8962</v>
      </c>
      <c r="H53" s="34" t="n">
        <f aca="false">予算原本_白鳥惣菜!G49</f>
        <v>8962</v>
      </c>
      <c r="I53" s="34" t="n">
        <f aca="false">予算原本_白鳥惣菜!H49</f>
        <v>8837</v>
      </c>
      <c r="J53" s="34" t="n">
        <f aca="false">予算原本_白鳥惣菜!I49</f>
        <v>8812</v>
      </c>
      <c r="K53" s="34" t="n">
        <f aca="false">予算原本_白鳥惣菜!J49</f>
        <v>8812</v>
      </c>
      <c r="L53" s="34" t="n">
        <f aca="false">予算原本_白鳥惣菜!K49</f>
        <v>8812</v>
      </c>
      <c r="M53" s="34" t="n">
        <f aca="false">予算原本_白鳥惣菜!L49</f>
        <v>8812</v>
      </c>
      <c r="N53" s="34" t="n">
        <f aca="false">予算原本_白鳥惣菜!M49</f>
        <v>8962</v>
      </c>
      <c r="O53" s="93" t="n">
        <f aca="false">SUM(C53:N53)</f>
        <v>106319</v>
      </c>
      <c r="P53" s="93" t="n">
        <f aca="false">SUM(I53:N53)</f>
        <v>53047</v>
      </c>
    </row>
    <row r="54" customFormat="false" ht="15" hidden="false" customHeight="false" outlineLevel="1" collapsed="false">
      <c r="B54" s="5" t="s">
        <v>366</v>
      </c>
      <c r="C54" s="34" t="n">
        <f aca="false">予算原本_白鳥惣菜!B50</f>
        <v>0</v>
      </c>
      <c r="D54" s="34" t="n">
        <f aca="false">予算原本_白鳥惣菜!C50</f>
        <v>0</v>
      </c>
      <c r="E54" s="34" t="n">
        <f aca="false">予算原本_白鳥惣菜!D50</f>
        <v>0</v>
      </c>
      <c r="F54" s="34" t="n">
        <f aca="false">予算原本_白鳥惣菜!E50</f>
        <v>0</v>
      </c>
      <c r="G54" s="34" t="n">
        <f aca="false">予算原本_白鳥惣菜!F50</f>
        <v>0</v>
      </c>
      <c r="H54" s="34" t="n">
        <f aca="false">予算原本_白鳥惣菜!G50</f>
        <v>0</v>
      </c>
      <c r="I54" s="34" t="n">
        <f aca="false">予算原本_白鳥惣菜!H50</f>
        <v>0</v>
      </c>
      <c r="J54" s="34" t="n">
        <f aca="false">予算原本_白鳥惣菜!I50</f>
        <v>0</v>
      </c>
      <c r="K54" s="34" t="n">
        <f aca="false">予算原本_白鳥惣菜!J50</f>
        <v>0</v>
      </c>
      <c r="L54" s="34" t="n">
        <f aca="false">予算原本_白鳥惣菜!K50</f>
        <v>0</v>
      </c>
      <c r="M54" s="34" t="n">
        <f aca="false">予算原本_白鳥惣菜!L50</f>
        <v>0</v>
      </c>
      <c r="N54" s="34" t="n">
        <f aca="false">予算原本_白鳥惣菜!M50</f>
        <v>0</v>
      </c>
      <c r="O54" s="93" t="n">
        <f aca="false">SUM(C54:N54)</f>
        <v>0</v>
      </c>
      <c r="P54" s="93" t="n">
        <f aca="false">SUM(I54:N54)</f>
        <v>0</v>
      </c>
    </row>
    <row r="55" customFormat="false" ht="15" hidden="false" customHeight="false" outlineLevel="1" collapsed="false">
      <c r="B55" s="5" t="s">
        <v>367</v>
      </c>
      <c r="C55" s="34" t="n">
        <f aca="false">予算原本_白鳥惣菜!B51</f>
        <v>0</v>
      </c>
      <c r="D55" s="34" t="n">
        <f aca="false">予算原本_白鳥惣菜!C51</f>
        <v>0</v>
      </c>
      <c r="E55" s="34" t="n">
        <f aca="false">予算原本_白鳥惣菜!D51</f>
        <v>0</v>
      </c>
      <c r="F55" s="34" t="n">
        <f aca="false">予算原本_白鳥惣菜!E51</f>
        <v>0</v>
      </c>
      <c r="G55" s="34" t="n">
        <f aca="false">予算原本_白鳥惣菜!F51</f>
        <v>0</v>
      </c>
      <c r="H55" s="34" t="n">
        <f aca="false">予算原本_白鳥惣菜!G51</f>
        <v>0</v>
      </c>
      <c r="I55" s="34" t="n">
        <f aca="false">予算原本_白鳥惣菜!H51</f>
        <v>0</v>
      </c>
      <c r="J55" s="34" t="n">
        <f aca="false">予算原本_白鳥惣菜!I51</f>
        <v>0</v>
      </c>
      <c r="K55" s="34" t="n">
        <f aca="false">予算原本_白鳥惣菜!J51</f>
        <v>0</v>
      </c>
      <c r="L55" s="34" t="n">
        <f aca="false">予算原本_白鳥惣菜!K51</f>
        <v>0</v>
      </c>
      <c r="M55" s="34" t="n">
        <f aca="false">予算原本_白鳥惣菜!L51</f>
        <v>0</v>
      </c>
      <c r="N55" s="34" t="n">
        <f aca="false">予算原本_白鳥惣菜!M51</f>
        <v>0</v>
      </c>
      <c r="O55" s="93" t="n">
        <f aca="false">SUM(C55:N55)</f>
        <v>0</v>
      </c>
      <c r="P55" s="93" t="n">
        <f aca="false">SUM(I55:N55)</f>
        <v>0</v>
      </c>
    </row>
    <row r="56" customFormat="false" ht="15" hidden="false" customHeight="false" outlineLevel="1" collapsed="false">
      <c r="B56" s="5" t="s">
        <v>368</v>
      </c>
      <c r="C56" s="34" t="n">
        <f aca="false">予算原本_白鳥惣菜!B52</f>
        <v>1032</v>
      </c>
      <c r="D56" s="34" t="n">
        <f aca="false">予算原本_白鳥惣菜!C52</f>
        <v>1032</v>
      </c>
      <c r="E56" s="34" t="n">
        <f aca="false">予算原本_白鳥惣菜!D52</f>
        <v>1032</v>
      </c>
      <c r="F56" s="34" t="n">
        <f aca="false">予算原本_白鳥惣菜!E52</f>
        <v>1032</v>
      </c>
      <c r="G56" s="34" t="n">
        <f aca="false">予算原本_白鳥惣菜!F52</f>
        <v>1032</v>
      </c>
      <c r="H56" s="34" t="n">
        <f aca="false">予算原本_白鳥惣菜!G52</f>
        <v>1032</v>
      </c>
      <c r="I56" s="34" t="n">
        <f aca="false">予算原本_白鳥惣菜!H52</f>
        <v>1032</v>
      </c>
      <c r="J56" s="34" t="n">
        <f aca="false">予算原本_白鳥惣菜!I52</f>
        <v>1032</v>
      </c>
      <c r="K56" s="34" t="n">
        <f aca="false">予算原本_白鳥惣菜!J52</f>
        <v>1032</v>
      </c>
      <c r="L56" s="34" t="n">
        <f aca="false">予算原本_白鳥惣菜!K52</f>
        <v>1032</v>
      </c>
      <c r="M56" s="34" t="n">
        <f aca="false">予算原本_白鳥惣菜!L52</f>
        <v>1032</v>
      </c>
      <c r="N56" s="34" t="n">
        <f aca="false">予算原本_白鳥惣菜!M52</f>
        <v>1032</v>
      </c>
      <c r="O56" s="93" t="n">
        <f aca="false">SUM(C56:N56)</f>
        <v>12384</v>
      </c>
      <c r="P56" s="93" t="n">
        <f aca="false">SUM(I56:N56)</f>
        <v>6192</v>
      </c>
    </row>
    <row r="57" customFormat="false" ht="15" hidden="false" customHeight="false" outlineLevel="1" collapsed="false">
      <c r="B57" s="5" t="s">
        <v>369</v>
      </c>
      <c r="C57" s="34" t="n">
        <f aca="false">予算原本_白鳥惣菜!B53</f>
        <v>0</v>
      </c>
      <c r="D57" s="34" t="n">
        <f aca="false">予算原本_白鳥惣菜!C53</f>
        <v>0</v>
      </c>
      <c r="E57" s="34" t="n">
        <f aca="false">予算原本_白鳥惣菜!D53</f>
        <v>0</v>
      </c>
      <c r="F57" s="34" t="n">
        <f aca="false">予算原本_白鳥惣菜!E53</f>
        <v>0</v>
      </c>
      <c r="G57" s="34" t="n">
        <f aca="false">予算原本_白鳥惣菜!F53</f>
        <v>0</v>
      </c>
      <c r="H57" s="34" t="n">
        <f aca="false">予算原本_白鳥惣菜!G53</f>
        <v>0</v>
      </c>
      <c r="I57" s="34" t="n">
        <f aca="false">予算原本_白鳥惣菜!H53</f>
        <v>0</v>
      </c>
      <c r="J57" s="34" t="n">
        <f aca="false">予算原本_白鳥惣菜!I53</f>
        <v>0</v>
      </c>
      <c r="K57" s="34" t="n">
        <f aca="false">予算原本_白鳥惣菜!J53</f>
        <v>0</v>
      </c>
      <c r="L57" s="34" t="n">
        <f aca="false">予算原本_白鳥惣菜!K53</f>
        <v>0</v>
      </c>
      <c r="M57" s="34" t="n">
        <f aca="false">予算原本_白鳥惣菜!L53</f>
        <v>0</v>
      </c>
      <c r="N57" s="34" t="n">
        <f aca="false">予算原本_白鳥惣菜!M53</f>
        <v>0</v>
      </c>
      <c r="O57" s="93" t="n">
        <f aca="false">SUM(C57:N57)</f>
        <v>0</v>
      </c>
      <c r="P57" s="93" t="n">
        <f aca="false">SUM(I57:N57)</f>
        <v>0</v>
      </c>
    </row>
    <row r="58" customFormat="false" ht="15" hidden="false" customHeight="false" outlineLevel="1" collapsed="false">
      <c r="B58" s="5" t="s">
        <v>370</v>
      </c>
      <c r="C58" s="34" t="n">
        <f aca="false">予算原本_白鳥惣菜!B54</f>
        <v>10</v>
      </c>
      <c r="D58" s="34" t="n">
        <f aca="false">予算原本_白鳥惣菜!C54</f>
        <v>10</v>
      </c>
      <c r="E58" s="34" t="n">
        <f aca="false">予算原本_白鳥惣菜!D54</f>
        <v>10</v>
      </c>
      <c r="F58" s="34" t="n">
        <f aca="false">予算原本_白鳥惣菜!E54</f>
        <v>10</v>
      </c>
      <c r="G58" s="34" t="n">
        <f aca="false">予算原本_白鳥惣菜!F54</f>
        <v>10</v>
      </c>
      <c r="H58" s="34" t="n">
        <f aca="false">予算原本_白鳥惣菜!G54</f>
        <v>10</v>
      </c>
      <c r="I58" s="34" t="n">
        <f aca="false">予算原本_白鳥惣菜!H54</f>
        <v>10</v>
      </c>
      <c r="J58" s="34" t="n">
        <f aca="false">予算原本_白鳥惣菜!I54</f>
        <v>10</v>
      </c>
      <c r="K58" s="34" t="n">
        <f aca="false">予算原本_白鳥惣菜!J54</f>
        <v>10</v>
      </c>
      <c r="L58" s="34" t="n">
        <f aca="false">予算原本_白鳥惣菜!K54</f>
        <v>10</v>
      </c>
      <c r="M58" s="34" t="n">
        <f aca="false">予算原本_白鳥惣菜!L54</f>
        <v>10</v>
      </c>
      <c r="N58" s="34" t="n">
        <f aca="false">予算原本_白鳥惣菜!M54</f>
        <v>10</v>
      </c>
      <c r="O58" s="93" t="n">
        <f aca="false">SUM(C58:N58)</f>
        <v>120</v>
      </c>
      <c r="P58" s="93" t="n">
        <f aca="false">SUM(I58:N58)</f>
        <v>60</v>
      </c>
    </row>
    <row r="59" customFormat="false" ht="15" hidden="false" customHeight="false" outlineLevel="1" collapsed="false">
      <c r="B59" s="5" t="s">
        <v>371</v>
      </c>
      <c r="C59" s="34" t="n">
        <f aca="false">予算原本_白鳥惣菜!B55</f>
        <v>9850.1867</v>
      </c>
      <c r="D59" s="34" t="n">
        <f aca="false">予算原本_白鳥惣菜!C55</f>
        <v>9916.8533</v>
      </c>
      <c r="E59" s="34" t="n">
        <f aca="false">予算原本_白鳥惣菜!D55</f>
        <v>11149.895</v>
      </c>
      <c r="F59" s="34" t="n">
        <f aca="false">予算原本_白鳥惣菜!E55</f>
        <v>11393.2283</v>
      </c>
      <c r="G59" s="34" t="n">
        <f aca="false">予算原本_白鳥惣菜!F55</f>
        <v>12143.2283</v>
      </c>
      <c r="H59" s="34" t="n">
        <f aca="false">予算原本_白鳥惣菜!G55</f>
        <v>12226.5617</v>
      </c>
      <c r="I59" s="34" t="n">
        <f aca="false">予算原本_白鳥惣菜!H55</f>
        <v>12226.5617</v>
      </c>
      <c r="J59" s="34" t="n">
        <f aca="false">予算原本_白鳥惣菜!I55</f>
        <v>12476.5617</v>
      </c>
      <c r="K59" s="34" t="n">
        <f aca="false">予算原本_白鳥惣菜!J55</f>
        <v>12476.5617</v>
      </c>
      <c r="L59" s="34" t="n">
        <f aca="false">予算原本_白鳥惣菜!K55</f>
        <v>12476.5617</v>
      </c>
      <c r="M59" s="34" t="n">
        <f aca="false">予算原本_白鳥惣菜!L55</f>
        <v>12476.5617</v>
      </c>
      <c r="N59" s="34" t="n">
        <f aca="false">予算原本_白鳥惣菜!M55</f>
        <v>12476.5617</v>
      </c>
      <c r="O59" s="93" t="n">
        <f aca="false">SUM(C59:N59)</f>
        <v>141289.3235</v>
      </c>
      <c r="P59" s="93" t="n">
        <f aca="false">SUM(I59:N59)</f>
        <v>74609.3702</v>
      </c>
    </row>
    <row r="60" customFormat="false" ht="15" hidden="false" customHeight="false" outlineLevel="1" collapsed="false">
      <c r="B60" s="5" t="s">
        <v>372</v>
      </c>
      <c r="C60" s="34" t="n">
        <f aca="false">予算原本_白鳥惣菜!B56</f>
        <v>984</v>
      </c>
      <c r="D60" s="34" t="n">
        <f aca="false">予算原本_白鳥惣菜!C56</f>
        <v>984</v>
      </c>
      <c r="E60" s="34" t="n">
        <f aca="false">予算原本_白鳥惣菜!D56</f>
        <v>1014</v>
      </c>
      <c r="F60" s="34" t="n">
        <f aca="false">予算原本_白鳥惣菜!E56</f>
        <v>1160</v>
      </c>
      <c r="G60" s="34" t="n">
        <f aca="false">予算原本_白鳥惣菜!F56</f>
        <v>1506</v>
      </c>
      <c r="H60" s="34" t="n">
        <f aca="false">予算原本_白鳥惣菜!G56</f>
        <v>1605</v>
      </c>
      <c r="I60" s="34" t="n">
        <f aca="false">予算原本_白鳥惣菜!H56</f>
        <v>1285</v>
      </c>
      <c r="J60" s="34" t="n">
        <f aca="false">予算原本_白鳥惣菜!I56</f>
        <v>1160</v>
      </c>
      <c r="K60" s="34" t="n">
        <f aca="false">予算原本_白鳥惣菜!J56</f>
        <v>1190</v>
      </c>
      <c r="L60" s="34" t="n">
        <f aca="false">予算原本_白鳥惣菜!K56</f>
        <v>1160</v>
      </c>
      <c r="M60" s="34" t="n">
        <f aca="false">予算原本_白鳥惣菜!L56</f>
        <v>1324</v>
      </c>
      <c r="N60" s="34" t="n">
        <f aca="false">予算原本_白鳥惣菜!M56</f>
        <v>1741</v>
      </c>
      <c r="O60" s="93" t="n">
        <f aca="false">SUM(C60:N60)</f>
        <v>15113</v>
      </c>
      <c r="P60" s="93" t="n">
        <f aca="false">SUM(I60:N60)</f>
        <v>7860</v>
      </c>
    </row>
    <row r="61" customFormat="false" ht="15" hidden="false" customHeight="false" outlineLevel="1" collapsed="false">
      <c r="B61" s="5" t="s">
        <v>373</v>
      </c>
      <c r="C61" s="34" t="n">
        <f aca="false">予算原本_白鳥惣菜!B57</f>
        <v>300</v>
      </c>
      <c r="D61" s="34" t="n">
        <f aca="false">予算原本_白鳥惣菜!C57</f>
        <v>300</v>
      </c>
      <c r="E61" s="34" t="n">
        <f aca="false">予算原本_白鳥惣菜!D57</f>
        <v>300</v>
      </c>
      <c r="F61" s="34" t="n">
        <f aca="false">予算原本_白鳥惣菜!E57</f>
        <v>300</v>
      </c>
      <c r="G61" s="34" t="n">
        <f aca="false">予算原本_白鳥惣菜!F57</f>
        <v>300</v>
      </c>
      <c r="H61" s="34" t="n">
        <f aca="false">予算原本_白鳥惣菜!G57</f>
        <v>300</v>
      </c>
      <c r="I61" s="34" t="n">
        <f aca="false">予算原本_白鳥惣菜!H57</f>
        <v>300</v>
      </c>
      <c r="J61" s="34" t="n">
        <f aca="false">予算原本_白鳥惣菜!I57</f>
        <v>300</v>
      </c>
      <c r="K61" s="34" t="n">
        <f aca="false">予算原本_白鳥惣菜!J57</f>
        <v>300</v>
      </c>
      <c r="L61" s="34" t="n">
        <f aca="false">予算原本_白鳥惣菜!K57</f>
        <v>300</v>
      </c>
      <c r="M61" s="34" t="n">
        <f aca="false">予算原本_白鳥惣菜!L57</f>
        <v>300</v>
      </c>
      <c r="N61" s="34" t="n">
        <f aca="false">予算原本_白鳥惣菜!M57</f>
        <v>300</v>
      </c>
      <c r="O61" s="93" t="n">
        <f aca="false">SUM(C61:N61)</f>
        <v>3600</v>
      </c>
      <c r="P61" s="93" t="n">
        <f aca="false">SUM(I61:N61)</f>
        <v>1800</v>
      </c>
    </row>
    <row r="62" customFormat="false" ht="15" hidden="false" customHeight="false" outlineLevel="0" collapsed="false">
      <c r="B62" s="12" t="s">
        <v>374</v>
      </c>
      <c r="C62" s="106" t="n">
        <f aca="false">予算原本_白鳥惣菜!B58</f>
        <v>219177.7467</v>
      </c>
      <c r="D62" s="106" t="n">
        <f aca="false">予算原本_白鳥惣菜!C58</f>
        <v>226585.3764</v>
      </c>
      <c r="E62" s="106" t="n">
        <f aca="false">予算原本_白鳥惣菜!D58</f>
        <v>215497.815</v>
      </c>
      <c r="F62" s="106" t="n">
        <f aca="false">予算原本_白鳥惣菜!E58</f>
        <v>218565.5078</v>
      </c>
      <c r="G62" s="106" t="n">
        <f aca="false">予算原本_白鳥惣菜!F58</f>
        <v>208982.0724</v>
      </c>
      <c r="H62" s="106" t="n">
        <f aca="false">予算原本_白鳥惣菜!G58</f>
        <v>232441.4789</v>
      </c>
      <c r="I62" s="106" t="n">
        <f aca="false">予算原本_白鳥惣菜!H58</f>
        <v>221115.7591</v>
      </c>
      <c r="J62" s="106" t="n">
        <f aca="false">予算原本_白鳥惣菜!I58</f>
        <v>209676.8817</v>
      </c>
      <c r="K62" s="106" t="n">
        <f aca="false">予算原本_白鳥惣菜!J58</f>
        <v>231054.4617</v>
      </c>
      <c r="L62" s="106" t="n">
        <f aca="false">予算原本_白鳥惣菜!K58</f>
        <v>221039.5617</v>
      </c>
      <c r="M62" s="106" t="n">
        <f aca="false">予算原本_白鳥惣菜!L58</f>
        <v>225189.5617</v>
      </c>
      <c r="N62" s="106" t="n">
        <f aca="false">予算原本_白鳥惣菜!M58</f>
        <v>222969.5617</v>
      </c>
      <c r="O62" s="93" t="n">
        <f aca="false">SUM(C62:N62)</f>
        <v>2652295.7848</v>
      </c>
      <c r="P62" s="93" t="n">
        <f aca="false">SUM(I62:N62)</f>
        <v>1331045.7876</v>
      </c>
    </row>
    <row r="63" customFormat="false" ht="15" hidden="false" customHeight="false" outlineLevel="0" collapsed="false">
      <c r="B63" s="5" t="s">
        <v>375</v>
      </c>
      <c r="C63" s="34" t="n">
        <f aca="false">予算原本_白鳥惣菜!B59</f>
        <v>0</v>
      </c>
      <c r="D63" s="34" t="n">
        <f aca="false">予算原本_白鳥惣菜!C59</f>
        <v>0</v>
      </c>
      <c r="E63" s="34" t="n">
        <f aca="false">予算原本_白鳥惣菜!D59</f>
        <v>0</v>
      </c>
      <c r="F63" s="34" t="n">
        <f aca="false">予算原本_白鳥惣菜!E59</f>
        <v>0</v>
      </c>
      <c r="G63" s="34" t="n">
        <f aca="false">予算原本_白鳥惣菜!F59</f>
        <v>0</v>
      </c>
      <c r="H63" s="34" t="n">
        <f aca="false">予算原本_白鳥惣菜!G59</f>
        <v>0</v>
      </c>
      <c r="I63" s="34" t="n">
        <f aca="false">予算原本_白鳥惣菜!H59</f>
        <v>0</v>
      </c>
      <c r="J63" s="34" t="n">
        <f aca="false">予算原本_白鳥惣菜!I59</f>
        <v>0</v>
      </c>
      <c r="K63" s="34" t="n">
        <f aca="false">予算原本_白鳥惣菜!J59</f>
        <v>0</v>
      </c>
      <c r="L63" s="34" t="n">
        <f aca="false">予算原本_白鳥惣菜!K59</f>
        <v>0</v>
      </c>
      <c r="M63" s="34" t="n">
        <f aca="false">予算原本_白鳥惣菜!L59</f>
        <v>0</v>
      </c>
      <c r="N63" s="34" t="n">
        <f aca="false">予算原本_白鳥惣菜!M59</f>
        <v>0</v>
      </c>
      <c r="O63" s="93" t="n">
        <f aca="false">SUM(C63:N63)</f>
        <v>0</v>
      </c>
      <c r="P63" s="93" t="n">
        <f aca="false">SUM(I63:N63)</f>
        <v>0</v>
      </c>
    </row>
    <row r="64" customFormat="false" ht="15" hidden="false" customHeight="false" outlineLevel="0" collapsed="false">
      <c r="B64" s="12" t="s">
        <v>376</v>
      </c>
      <c r="C64" s="106" t="n">
        <f aca="false">予算原本_白鳥惣菜!B60</f>
        <v>4992.25329999998</v>
      </c>
      <c r="D64" s="106" t="n">
        <f aca="false">予算原本_白鳥惣菜!C60</f>
        <v>11406.0076</v>
      </c>
      <c r="E64" s="106" t="n">
        <f aca="false">予算原本_白鳥惣菜!D60</f>
        <v>-2807.815</v>
      </c>
      <c r="F64" s="106" t="n">
        <f aca="false">予算原本_白鳥惣菜!E60</f>
        <v>1098.96319999997</v>
      </c>
      <c r="G64" s="106" t="n">
        <f aca="false">予算原本_白鳥惣菜!F60</f>
        <v>4249.44759999999</v>
      </c>
      <c r="H64" s="106" t="n">
        <f aca="false">予算原本_白鳥惣菜!G60</f>
        <v>8054.27110000001</v>
      </c>
      <c r="I64" s="106" t="n">
        <f aca="false">予算原本_白鳥惣菜!H60</f>
        <v>-2319.89610000001</v>
      </c>
      <c r="J64" s="106" t="n">
        <f aca="false">予算原本_白鳥惣菜!I60</f>
        <v>-2565.48170000003</v>
      </c>
      <c r="K64" s="106" t="n">
        <f aca="false">予算原本_白鳥惣菜!J60</f>
        <v>3454.53829999999</v>
      </c>
      <c r="L64" s="106" t="n">
        <f aca="false">予算原本_白鳥惣菜!K60</f>
        <v>3740.43829999998</v>
      </c>
      <c r="M64" s="106" t="n">
        <f aca="false">予算原本_白鳥惣菜!L60</f>
        <v>2410.43829999998</v>
      </c>
      <c r="N64" s="106" t="n">
        <f aca="false">予算原本_白鳥惣菜!M60</f>
        <v>-3722.29310000001</v>
      </c>
      <c r="O64" s="93" t="n">
        <f aca="false">SUM(C64:N64)</f>
        <v>27990.8717999998</v>
      </c>
      <c r="P64" s="93" t="n">
        <f aca="false">SUM(I64:N64)</f>
        <v>997.74399999989</v>
      </c>
    </row>
    <row r="65" customFormat="false" ht="15" hidden="false" customHeight="false" outlineLevel="1" collapsed="false">
      <c r="B65" s="5" t="s">
        <v>377</v>
      </c>
      <c r="C65" s="34" t="n">
        <f aca="false">予算原本_白鳥惣菜!B61</f>
        <v>0</v>
      </c>
      <c r="D65" s="34" t="n">
        <f aca="false">予算原本_白鳥惣菜!C61</f>
        <v>0</v>
      </c>
      <c r="E65" s="34" t="n">
        <f aca="false">予算原本_白鳥惣菜!D61</f>
        <v>0</v>
      </c>
      <c r="F65" s="34" t="n">
        <f aca="false">予算原本_白鳥惣菜!E61</f>
        <v>0</v>
      </c>
      <c r="G65" s="34" t="n">
        <f aca="false">予算原本_白鳥惣菜!F61</f>
        <v>0</v>
      </c>
      <c r="H65" s="34" t="n">
        <f aca="false">予算原本_白鳥惣菜!G61</f>
        <v>0</v>
      </c>
      <c r="I65" s="34" t="n">
        <f aca="false">予算原本_白鳥惣菜!H61</f>
        <v>0</v>
      </c>
      <c r="J65" s="34" t="n">
        <f aca="false">予算原本_白鳥惣菜!I61</f>
        <v>0</v>
      </c>
      <c r="K65" s="34" t="n">
        <f aca="false">予算原本_白鳥惣菜!J61</f>
        <v>0</v>
      </c>
      <c r="L65" s="34" t="n">
        <f aca="false">予算原本_白鳥惣菜!K61</f>
        <v>0</v>
      </c>
      <c r="M65" s="34" t="n">
        <f aca="false">予算原本_白鳥惣菜!L61</f>
        <v>0</v>
      </c>
      <c r="N65" s="34" t="n">
        <f aca="false">予算原本_白鳥惣菜!M61</f>
        <v>0</v>
      </c>
      <c r="O65" s="93" t="n">
        <f aca="false">SUM(C65:N65)</f>
        <v>0</v>
      </c>
      <c r="P65" s="93" t="n">
        <f aca="false">SUM(I65:N65)</f>
        <v>0</v>
      </c>
    </row>
    <row r="66" customFormat="false" ht="15" hidden="false" customHeight="false" outlineLevel="1" collapsed="false">
      <c r="B66" s="5" t="s">
        <v>378</v>
      </c>
      <c r="C66" s="34" t="n">
        <f aca="false">予算原本_白鳥惣菜!B62</f>
        <v>0</v>
      </c>
      <c r="D66" s="34" t="n">
        <f aca="false">予算原本_白鳥惣菜!C62</f>
        <v>0</v>
      </c>
      <c r="E66" s="34" t="n">
        <f aca="false">予算原本_白鳥惣菜!D62</f>
        <v>0</v>
      </c>
      <c r="F66" s="34" t="n">
        <f aca="false">予算原本_白鳥惣菜!E62</f>
        <v>0</v>
      </c>
      <c r="G66" s="34" t="n">
        <f aca="false">予算原本_白鳥惣菜!F62</f>
        <v>0</v>
      </c>
      <c r="H66" s="34" t="n">
        <f aca="false">予算原本_白鳥惣菜!G62</f>
        <v>0</v>
      </c>
      <c r="I66" s="34" t="n">
        <f aca="false">予算原本_白鳥惣菜!H62</f>
        <v>0</v>
      </c>
      <c r="J66" s="34" t="n">
        <f aca="false">予算原本_白鳥惣菜!I62</f>
        <v>0</v>
      </c>
      <c r="K66" s="34" t="n">
        <f aca="false">予算原本_白鳥惣菜!J62</f>
        <v>0</v>
      </c>
      <c r="L66" s="34" t="n">
        <f aca="false">予算原本_白鳥惣菜!K62</f>
        <v>0</v>
      </c>
      <c r="M66" s="34" t="n">
        <f aca="false">予算原本_白鳥惣菜!L62</f>
        <v>0</v>
      </c>
      <c r="N66" s="34" t="n">
        <f aca="false">予算原本_白鳥惣菜!M62</f>
        <v>0</v>
      </c>
      <c r="O66" s="93" t="n">
        <f aca="false">SUM(C66:N66)</f>
        <v>0</v>
      </c>
      <c r="P66" s="93" t="n">
        <f aca="false">SUM(I66:N66)</f>
        <v>0</v>
      </c>
    </row>
    <row r="67" customFormat="false" ht="15" hidden="false" customHeight="false" outlineLevel="1" collapsed="false">
      <c r="B67" s="5" t="s">
        <v>379</v>
      </c>
      <c r="C67" s="34" t="n">
        <f aca="false">予算原本_白鳥惣菜!B63</f>
        <v>0</v>
      </c>
      <c r="D67" s="34" t="n">
        <f aca="false">予算原本_白鳥惣菜!C63</f>
        <v>0</v>
      </c>
      <c r="E67" s="34" t="n">
        <f aca="false">予算原本_白鳥惣菜!D63</f>
        <v>0</v>
      </c>
      <c r="F67" s="34" t="n">
        <f aca="false">予算原本_白鳥惣菜!E63</f>
        <v>0</v>
      </c>
      <c r="G67" s="34" t="n">
        <f aca="false">予算原本_白鳥惣菜!F63</f>
        <v>0</v>
      </c>
      <c r="H67" s="34" t="n">
        <f aca="false">予算原本_白鳥惣菜!G63</f>
        <v>0</v>
      </c>
      <c r="I67" s="34" t="n">
        <f aca="false">予算原本_白鳥惣菜!H63</f>
        <v>0</v>
      </c>
      <c r="J67" s="34" t="n">
        <f aca="false">予算原本_白鳥惣菜!I63</f>
        <v>0</v>
      </c>
      <c r="K67" s="34" t="n">
        <f aca="false">予算原本_白鳥惣菜!J63</f>
        <v>0</v>
      </c>
      <c r="L67" s="34" t="n">
        <f aca="false">予算原本_白鳥惣菜!K63</f>
        <v>0</v>
      </c>
      <c r="M67" s="34" t="n">
        <f aca="false">予算原本_白鳥惣菜!L63</f>
        <v>0</v>
      </c>
      <c r="N67" s="34" t="n">
        <f aca="false">予算原本_白鳥惣菜!M63</f>
        <v>0</v>
      </c>
      <c r="O67" s="93" t="n">
        <f aca="false">SUM(C67:N67)</f>
        <v>0</v>
      </c>
      <c r="P67" s="93" t="n">
        <f aca="false">SUM(I67:N67)</f>
        <v>0</v>
      </c>
    </row>
    <row r="68" customFormat="false" ht="15" hidden="false" customHeight="false" outlineLevel="1" collapsed="false">
      <c r="B68" s="5" t="s">
        <v>380</v>
      </c>
      <c r="C68" s="34" t="n">
        <f aca="false">予算原本_白鳥惣菜!B64</f>
        <v>0</v>
      </c>
      <c r="D68" s="34" t="n">
        <f aca="false">予算原本_白鳥惣菜!C64</f>
        <v>0</v>
      </c>
      <c r="E68" s="34" t="n">
        <f aca="false">予算原本_白鳥惣菜!D64</f>
        <v>0</v>
      </c>
      <c r="F68" s="34" t="n">
        <f aca="false">予算原本_白鳥惣菜!E64</f>
        <v>0</v>
      </c>
      <c r="G68" s="34" t="n">
        <f aca="false">予算原本_白鳥惣菜!F64</f>
        <v>0</v>
      </c>
      <c r="H68" s="34" t="n">
        <f aca="false">予算原本_白鳥惣菜!G64</f>
        <v>0</v>
      </c>
      <c r="I68" s="34" t="n">
        <f aca="false">予算原本_白鳥惣菜!H64</f>
        <v>0</v>
      </c>
      <c r="J68" s="34" t="n">
        <f aca="false">予算原本_白鳥惣菜!I64</f>
        <v>0</v>
      </c>
      <c r="K68" s="34" t="n">
        <f aca="false">予算原本_白鳥惣菜!J64</f>
        <v>0</v>
      </c>
      <c r="L68" s="34" t="n">
        <f aca="false">予算原本_白鳥惣菜!K64</f>
        <v>0</v>
      </c>
      <c r="M68" s="34" t="n">
        <f aca="false">予算原本_白鳥惣菜!L64</f>
        <v>0</v>
      </c>
      <c r="N68" s="34" t="n">
        <f aca="false">予算原本_白鳥惣菜!M64</f>
        <v>0</v>
      </c>
      <c r="O68" s="93" t="n">
        <f aca="false">SUM(C68:N68)</f>
        <v>0</v>
      </c>
      <c r="P68" s="93" t="n">
        <f aca="false">SUM(I68:N68)</f>
        <v>0</v>
      </c>
    </row>
    <row r="69" customFormat="false" ht="15" hidden="false" customHeight="false" outlineLevel="1" collapsed="false">
      <c r="B69" s="5" t="s">
        <v>381</v>
      </c>
      <c r="C69" s="34" t="n">
        <f aca="false">予算原本_白鳥惣菜!B65</f>
        <v>0</v>
      </c>
      <c r="D69" s="34" t="n">
        <f aca="false">予算原本_白鳥惣菜!C65</f>
        <v>0</v>
      </c>
      <c r="E69" s="34" t="n">
        <f aca="false">予算原本_白鳥惣菜!D65</f>
        <v>0</v>
      </c>
      <c r="F69" s="34" t="n">
        <f aca="false">予算原本_白鳥惣菜!E65</f>
        <v>0</v>
      </c>
      <c r="G69" s="34" t="n">
        <f aca="false">予算原本_白鳥惣菜!F65</f>
        <v>0</v>
      </c>
      <c r="H69" s="34" t="n">
        <f aca="false">予算原本_白鳥惣菜!G65</f>
        <v>0</v>
      </c>
      <c r="I69" s="34" t="n">
        <f aca="false">予算原本_白鳥惣菜!H65</f>
        <v>0</v>
      </c>
      <c r="J69" s="34" t="n">
        <f aca="false">予算原本_白鳥惣菜!I65</f>
        <v>0</v>
      </c>
      <c r="K69" s="34" t="n">
        <f aca="false">予算原本_白鳥惣菜!J65</f>
        <v>0</v>
      </c>
      <c r="L69" s="34" t="n">
        <f aca="false">予算原本_白鳥惣菜!K65</f>
        <v>0</v>
      </c>
      <c r="M69" s="34" t="n">
        <f aca="false">予算原本_白鳥惣菜!L65</f>
        <v>0</v>
      </c>
      <c r="N69" s="34" t="n">
        <f aca="false">予算原本_白鳥惣菜!M65</f>
        <v>0</v>
      </c>
      <c r="O69" s="93" t="n">
        <f aca="false">SUM(C69:N69)</f>
        <v>0</v>
      </c>
      <c r="P69" s="93" t="n">
        <f aca="false">SUM(I69:N69)</f>
        <v>0</v>
      </c>
    </row>
    <row r="70" customFormat="false" ht="15" hidden="false" customHeight="false" outlineLevel="0" collapsed="false">
      <c r="B70" s="109" t="s">
        <v>382</v>
      </c>
      <c r="C70" s="110" t="n">
        <f aca="false">予算原本_白鳥惣菜!B66</f>
        <v>4992.25329999998</v>
      </c>
      <c r="D70" s="110" t="n">
        <f aca="false">予算原本_白鳥惣菜!C66</f>
        <v>11406.0076</v>
      </c>
      <c r="E70" s="110" t="n">
        <f aca="false">予算原本_白鳥惣菜!D66</f>
        <v>-2807.815</v>
      </c>
      <c r="F70" s="110" t="n">
        <f aca="false">予算原本_白鳥惣菜!E66</f>
        <v>1098.96319999997</v>
      </c>
      <c r="G70" s="110" t="n">
        <f aca="false">予算原本_白鳥惣菜!F66</f>
        <v>4249.44759999999</v>
      </c>
      <c r="H70" s="110" t="n">
        <f aca="false">予算原本_白鳥惣菜!G66</f>
        <v>8054.27110000001</v>
      </c>
      <c r="I70" s="110" t="n">
        <f aca="false">予算原本_白鳥惣菜!H66</f>
        <v>-2319.89610000001</v>
      </c>
      <c r="J70" s="110" t="n">
        <f aca="false">予算原本_白鳥惣菜!I66</f>
        <v>-2565.48170000003</v>
      </c>
      <c r="K70" s="110" t="n">
        <f aca="false">予算原本_白鳥惣菜!J66</f>
        <v>3454.53829999999</v>
      </c>
      <c r="L70" s="110" t="n">
        <f aca="false">予算原本_白鳥惣菜!K66</f>
        <v>3740.43829999998</v>
      </c>
      <c r="M70" s="110" t="n">
        <f aca="false">予算原本_白鳥惣菜!L66</f>
        <v>2410.43829999998</v>
      </c>
      <c r="N70" s="110" t="n">
        <f aca="false">予算原本_白鳥惣菜!M66</f>
        <v>-3722.29310000001</v>
      </c>
      <c r="O70" s="111" t="n">
        <f aca="false">SUM(C70:N70)</f>
        <v>27990.8717999998</v>
      </c>
      <c r="P70" s="111" t="n">
        <f aca="false">SUM(I70:N70)</f>
        <v>997.74399999989</v>
      </c>
    </row>
    <row r="72" customFormat="false" ht="15" hidden="false" customHeight="false" outlineLevel="0" collapsed="false">
      <c r="B72" s="3" t="s">
        <v>426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customFormat="false" ht="15" hidden="false" customHeight="false" outlineLevel="0" collapsed="false">
      <c r="B73" s="62" t="s">
        <v>427</v>
      </c>
      <c r="C73" s="112" t="n">
        <f aca="false">SUMIFS(投資回収_月次!$D$8:$D$127,投資回収_月次!$B$8:$B$127,C$5)</f>
        <v>0</v>
      </c>
      <c r="D73" s="112" t="n">
        <f aca="false">SUMIFS(投資回収_月次!$D$8:$D$127,投資回収_月次!$B$8:$B$127,D$5)</f>
        <v>0</v>
      </c>
      <c r="E73" s="112" t="n">
        <f aca="false">SUMIFS(投資回収_月次!$D$8:$D$127,投資回収_月次!$B$8:$B$127,E$5)</f>
        <v>0</v>
      </c>
      <c r="F73" s="112" t="n">
        <f aca="false">SUMIFS(投資回収_月次!$D$8:$D$127,投資回収_月次!$B$8:$B$127,F$5)</f>
        <v>0</v>
      </c>
      <c r="G73" s="112" t="n">
        <f aca="false">SUMIFS(投資回収_月次!$D$8:$D$127,投資回収_月次!$B$8:$B$127,G$5)</f>
        <v>0</v>
      </c>
      <c r="H73" s="112" t="n">
        <f aca="false">SUMIFS(投資回収_月次!$D$8:$D$127,投資回収_月次!$B$8:$B$127,H$5)</f>
        <v>0</v>
      </c>
      <c r="I73" s="112" t="n">
        <f aca="false">SUMIFS(投資回収_月次!$D$8:$D$127,投資回収_月次!$B$8:$B$127,I$5)</f>
        <v>0</v>
      </c>
      <c r="J73" s="112" t="n">
        <f aca="false">SUMIFS(投資回収_月次!$D$8:$D$127,投資回収_月次!$B$8:$B$127,J$5)</f>
        <v>28</v>
      </c>
      <c r="K73" s="112" t="n">
        <f aca="false">SUMIFS(投資回収_月次!$D$8:$D$127,投資回収_月次!$B$8:$B$127,K$5)</f>
        <v>31</v>
      </c>
      <c r="L73" s="112" t="n">
        <f aca="false">SUMIFS(投資回収_月次!$D$8:$D$127,投資回収_月次!$B$8:$B$127,L$5)</f>
        <v>30</v>
      </c>
      <c r="M73" s="112" t="n">
        <f aca="false">SUMIFS(投資回収_月次!$D$8:$D$127,投資回収_月次!$B$8:$B$127,M$5)</f>
        <v>31</v>
      </c>
      <c r="N73" s="112" t="n">
        <f aca="false">SUMIFS(投資回収_月次!$D$8:$D$127,投資回収_月次!$B$8:$B$127,N$5)</f>
        <v>30</v>
      </c>
      <c r="O73" s="88" t="n">
        <f aca="false">SUM(C73:N73)</f>
        <v>150</v>
      </c>
      <c r="P73" s="88" t="n">
        <f aca="false">SUM(I73:N73)</f>
        <v>150</v>
      </c>
    </row>
    <row r="74" customFormat="false" ht="15" hidden="false" customHeight="false" outlineLevel="0" collapsed="false">
      <c r="B74" s="5" t="s">
        <v>428</v>
      </c>
      <c r="C74" s="34" t="n">
        <f aca="false">-SUMIFS(投資回収_月次!$F$8:$F$127,投資回収_月次!$B$8:$B$127,C$5)/1000</f>
        <v>-0</v>
      </c>
      <c r="D74" s="34" t="n">
        <f aca="false">-SUMIFS(投資回収_月次!$F$8:$F$127,投資回収_月次!$B$8:$B$127,D$5)/1000</f>
        <v>-0</v>
      </c>
      <c r="E74" s="34" t="n">
        <f aca="false">-SUMIFS(投資回収_月次!$F$8:$F$127,投資回収_月次!$B$8:$B$127,E$5)/1000</f>
        <v>-0</v>
      </c>
      <c r="F74" s="34" t="n">
        <f aca="false">-SUMIFS(投資回収_月次!$F$8:$F$127,投資回収_月次!$B$8:$B$127,F$5)/1000</f>
        <v>-0</v>
      </c>
      <c r="G74" s="34" t="n">
        <f aca="false">-SUMIFS(投資回収_月次!$F$8:$F$127,投資回収_月次!$B$8:$B$127,G$5)/1000</f>
        <v>-0</v>
      </c>
      <c r="H74" s="34" t="n">
        <f aca="false">-SUMIFS(投資回収_月次!$F$8:$F$127,投資回収_月次!$B$8:$B$127,H$5)/1000</f>
        <v>-0</v>
      </c>
      <c r="I74" s="34" t="n">
        <f aca="false">-SUMIFS(投資回収_月次!$F$8:$F$127,投資回収_月次!$B$8:$B$127,I$5)/1000</f>
        <v>-0</v>
      </c>
      <c r="J74" s="34" t="n">
        <f aca="false">-SUMIFS(投資回収_月次!$F$8:$F$127,投資回収_月次!$B$8:$B$127,J$5)/1000</f>
        <v>-161</v>
      </c>
      <c r="K74" s="34" t="n">
        <f aca="false">-SUMIFS(投資回収_月次!$F$8:$F$127,投資回収_月次!$B$8:$B$127,K$5)/1000</f>
        <v>-178.25</v>
      </c>
      <c r="L74" s="34" t="n">
        <f aca="false">-SUMIFS(投資回収_月次!$F$8:$F$127,投資回収_月次!$B$8:$B$127,L$5)/1000</f>
        <v>-172.5</v>
      </c>
      <c r="M74" s="34" t="n">
        <f aca="false">-SUMIFS(投資回収_月次!$F$8:$F$127,投資回収_月次!$B$8:$B$127,M$5)/1000</f>
        <v>-178.25</v>
      </c>
      <c r="N74" s="34" t="n">
        <f aca="false">-SUMIFS(投資回収_月次!$F$8:$F$127,投資回収_月次!$B$8:$B$127,N$5)/1000</f>
        <v>-172.5</v>
      </c>
      <c r="O74" s="93" t="n">
        <f aca="false">SUM(C74:N74)</f>
        <v>-862.5</v>
      </c>
      <c r="P74" s="93" t="n">
        <f aca="false">SUM(I74:N74)</f>
        <v>-862.5</v>
      </c>
      <c r="Q74" s="14" t="s">
        <v>429</v>
      </c>
    </row>
    <row r="75" customFormat="false" ht="15" hidden="false" customHeight="false" outlineLevel="0" collapsed="false">
      <c r="B75" s="5" t="s">
        <v>430</v>
      </c>
      <c r="C75" s="34" t="n">
        <f aca="false">-SUMIFS(投資回収_月次!$G$8:$G$127,投資回収_月次!$B$8:$B$127,C$5)/1000</f>
        <v>-0</v>
      </c>
      <c r="D75" s="34" t="n">
        <f aca="false">-SUMIFS(投資回収_月次!$G$8:$G$127,投資回収_月次!$B$8:$B$127,D$5)/1000</f>
        <v>-0</v>
      </c>
      <c r="E75" s="34" t="n">
        <f aca="false">-SUMIFS(投資回収_月次!$G$8:$G$127,投資回収_月次!$B$8:$B$127,E$5)/1000</f>
        <v>-0</v>
      </c>
      <c r="F75" s="34" t="n">
        <f aca="false">-SUMIFS(投資回収_月次!$G$8:$G$127,投資回収_月次!$B$8:$B$127,F$5)/1000</f>
        <v>-0</v>
      </c>
      <c r="G75" s="34" t="n">
        <f aca="false">-SUMIFS(投資回収_月次!$G$8:$G$127,投資回収_月次!$B$8:$B$127,G$5)/1000</f>
        <v>-0</v>
      </c>
      <c r="H75" s="34" t="n">
        <f aca="false">-SUMIFS(投資回収_月次!$G$8:$G$127,投資回収_月次!$B$8:$B$127,H$5)/1000</f>
        <v>-0</v>
      </c>
      <c r="I75" s="34" t="n">
        <f aca="false">-SUMIFS(投資回収_月次!$G$8:$G$127,投資回収_月次!$B$8:$B$127,I$5)/1000</f>
        <v>-0</v>
      </c>
      <c r="J75" s="34" t="n">
        <f aca="false">-SUMIFS(投資回収_月次!$G$8:$G$127,投資回収_月次!$B$8:$B$127,J$5)/1000</f>
        <v>-2.688</v>
      </c>
      <c r="K75" s="34" t="n">
        <f aca="false">-SUMIFS(投資回収_月次!$G$8:$G$127,投資回収_月次!$B$8:$B$127,K$5)/1000</f>
        <v>-2.976</v>
      </c>
      <c r="L75" s="34" t="n">
        <f aca="false">-SUMIFS(投資回収_月次!$G$8:$G$127,投資回収_月次!$B$8:$B$127,L$5)/1000</f>
        <v>-2.88</v>
      </c>
      <c r="M75" s="34" t="n">
        <f aca="false">-SUMIFS(投資回収_月次!$G$8:$G$127,投資回収_月次!$B$8:$B$127,M$5)/1000</f>
        <v>-2.976</v>
      </c>
      <c r="N75" s="34" t="n">
        <f aca="false">-SUMIFS(投資回収_月次!$G$8:$G$127,投資回収_月次!$B$8:$B$127,N$5)/1000</f>
        <v>-2.88</v>
      </c>
      <c r="O75" s="93" t="n">
        <f aca="false">SUM(C75:N75)</f>
        <v>-14.4</v>
      </c>
      <c r="P75" s="93" t="n">
        <f aca="false">SUM(I75:N75)</f>
        <v>-14.4</v>
      </c>
      <c r="Q75" s="14" t="s">
        <v>431</v>
      </c>
    </row>
    <row r="76" customFormat="false" ht="15" hidden="false" customHeight="false" outlineLevel="0" collapsed="false">
      <c r="B76" s="5" t="s">
        <v>432</v>
      </c>
      <c r="C76" s="34" t="n">
        <f aca="false">SUMIFS(投資回収_月次!$H$8:$H$127,投資回収_月次!$B$8:$B$127,C$5)/1000</f>
        <v>0</v>
      </c>
      <c r="D76" s="34" t="n">
        <f aca="false">SUMIFS(投資回収_月次!$H$8:$H$127,投資回収_月次!$B$8:$B$127,D$5)/1000</f>
        <v>0</v>
      </c>
      <c r="E76" s="34" t="n">
        <f aca="false">SUMIFS(投資回収_月次!$H$8:$H$127,投資回収_月次!$B$8:$B$127,E$5)/1000</f>
        <v>0</v>
      </c>
      <c r="F76" s="34" t="n">
        <f aca="false">SUMIFS(投資回収_月次!$H$8:$H$127,投資回収_月次!$B$8:$B$127,F$5)/1000</f>
        <v>0</v>
      </c>
      <c r="G76" s="34" t="n">
        <f aca="false">SUMIFS(投資回収_月次!$H$8:$H$127,投資回収_月次!$B$8:$B$127,G$5)/1000</f>
        <v>0</v>
      </c>
      <c r="H76" s="34" t="n">
        <f aca="false">SUMIFS(投資回収_月次!$H$8:$H$127,投資回収_月次!$B$8:$B$127,H$5)/1000</f>
        <v>0</v>
      </c>
      <c r="I76" s="34" t="n">
        <f aca="false">SUMIFS(投資回収_月次!$H$8:$H$127,投資回収_月次!$B$8:$B$127,I$5)/1000</f>
        <v>0</v>
      </c>
      <c r="J76" s="34" t="n">
        <f aca="false">SUMIFS(投資回収_月次!$H$8:$H$127,投資回収_月次!$B$8:$B$127,J$5)/1000</f>
        <v>5.88</v>
      </c>
      <c r="K76" s="34" t="n">
        <f aca="false">SUMIFS(投資回収_月次!$H$8:$H$127,投資回収_月次!$B$8:$B$127,K$5)/1000</f>
        <v>6.51</v>
      </c>
      <c r="L76" s="34" t="n">
        <f aca="false">SUMIFS(投資回収_月次!$H$8:$H$127,投資回収_月次!$B$8:$B$127,L$5)/1000</f>
        <v>6.3</v>
      </c>
      <c r="M76" s="34" t="n">
        <f aca="false">SUMIFS(投資回収_月次!$H$8:$H$127,投資回収_月次!$B$8:$B$127,M$5)/1000</f>
        <v>6.51</v>
      </c>
      <c r="N76" s="34" t="n">
        <f aca="false">SUMIFS(投資回収_月次!$H$8:$H$127,投資回収_月次!$B$8:$B$127,N$5)/1000</f>
        <v>6.3</v>
      </c>
      <c r="O76" s="93" t="n">
        <f aca="false">SUM(C76:N76)</f>
        <v>31.5</v>
      </c>
      <c r="P76" s="93" t="n">
        <f aca="false">SUM(I76:N76)</f>
        <v>31.5</v>
      </c>
      <c r="Q76" s="24" t="s">
        <v>433</v>
      </c>
    </row>
    <row r="77" customFormat="false" ht="15" hidden="false" customHeight="false" outlineLevel="0" collapsed="false">
      <c r="B77" s="5" t="s">
        <v>434</v>
      </c>
      <c r="C77" s="34" t="n">
        <f aca="false">SUMIFS(投資回収_月次!$I$8:$I$127,投資回収_月次!$B$8:$B$127,C$5)/1000</f>
        <v>0</v>
      </c>
      <c r="D77" s="34" t="n">
        <f aca="false">SUMIFS(投資回収_月次!$I$8:$I$127,投資回収_月次!$B$8:$B$127,D$5)/1000</f>
        <v>0</v>
      </c>
      <c r="E77" s="34" t="n">
        <f aca="false">SUMIFS(投資回収_月次!$I$8:$I$127,投資回収_月次!$B$8:$B$127,E$5)/1000</f>
        <v>0</v>
      </c>
      <c r="F77" s="34" t="n">
        <f aca="false">SUMIFS(投資回収_月次!$I$8:$I$127,投資回収_月次!$B$8:$B$127,F$5)/1000</f>
        <v>0</v>
      </c>
      <c r="G77" s="34" t="n">
        <f aca="false">SUMIFS(投資回収_月次!$I$8:$I$127,投資回収_月次!$B$8:$B$127,G$5)/1000</f>
        <v>0</v>
      </c>
      <c r="H77" s="34" t="n">
        <f aca="false">SUMIFS(投資回収_月次!$I$8:$I$127,投資回収_月次!$B$8:$B$127,H$5)/1000</f>
        <v>0</v>
      </c>
      <c r="I77" s="34" t="n">
        <f aca="false">SUMIFS(投資回収_月次!$I$8:$I$127,投資回収_月次!$B$8:$B$127,I$5)/1000</f>
        <v>0</v>
      </c>
      <c r="J77" s="34" t="n">
        <f aca="false">SUMIFS(投資回収_月次!$I$8:$I$127,投資回収_月次!$B$8:$B$127,J$5)/1000</f>
        <v>7.5</v>
      </c>
      <c r="K77" s="34" t="n">
        <f aca="false">SUMIFS(投資回収_月次!$I$8:$I$127,投資回収_月次!$B$8:$B$127,K$5)/1000</f>
        <v>7.5</v>
      </c>
      <c r="L77" s="34" t="n">
        <f aca="false">SUMIFS(投資回収_月次!$I$8:$I$127,投資回収_月次!$B$8:$B$127,L$5)/1000</f>
        <v>7.5</v>
      </c>
      <c r="M77" s="34" t="n">
        <f aca="false">SUMIFS(投資回収_月次!$I$8:$I$127,投資回収_月次!$B$8:$B$127,M$5)/1000</f>
        <v>7.5</v>
      </c>
      <c r="N77" s="34" t="n">
        <f aca="false">SUMIFS(投資回収_月次!$I$8:$I$127,投資回収_月次!$B$8:$B$127,N$5)/1000</f>
        <v>7.5</v>
      </c>
      <c r="O77" s="93" t="n">
        <f aca="false">SUM(C77:N77)</f>
        <v>37.5</v>
      </c>
      <c r="P77" s="93" t="n">
        <f aca="false">SUM(I77:N77)</f>
        <v>37.5</v>
      </c>
      <c r="Q77" s="14" t="s">
        <v>435</v>
      </c>
    </row>
    <row r="78" customFormat="false" ht="15" hidden="false" customHeight="false" outlineLevel="0" collapsed="false">
      <c r="B78" s="12" t="s">
        <v>436</v>
      </c>
      <c r="C78" s="34" t="n">
        <f aca="false">SUMIFS(投資回収_月次!$M$8:$M$127,投資回収_月次!$B$8:$B$127,C$5)/1000</f>
        <v>0</v>
      </c>
      <c r="D78" s="34" t="n">
        <f aca="false">SUMIFS(投資回収_月次!$M$8:$M$127,投資回収_月次!$B$8:$B$127,D$5)/1000</f>
        <v>0</v>
      </c>
      <c r="E78" s="34" t="n">
        <f aca="false">SUMIFS(投資回収_月次!$M$8:$M$127,投資回収_月次!$B$8:$B$127,E$5)/1000</f>
        <v>0</v>
      </c>
      <c r="F78" s="34" t="n">
        <f aca="false">SUMIFS(投資回収_月次!$M$8:$M$127,投資回収_月次!$B$8:$B$127,F$5)/1000</f>
        <v>0</v>
      </c>
      <c r="G78" s="34" t="n">
        <f aca="false">SUMIFS(投資回収_月次!$M$8:$M$127,投資回収_月次!$B$8:$B$127,G$5)/1000</f>
        <v>0</v>
      </c>
      <c r="H78" s="34" t="n">
        <f aca="false">SUMIFS(投資回収_月次!$M$8:$M$127,投資回収_月次!$B$8:$B$127,H$5)/1000</f>
        <v>0</v>
      </c>
      <c r="I78" s="34" t="n">
        <f aca="false">SUMIFS(投資回収_月次!$M$8:$M$127,投資回収_月次!$B$8:$B$127,I$5)/1000</f>
        <v>0</v>
      </c>
      <c r="J78" s="34" t="n">
        <f aca="false">SUMIFS(投資回収_月次!$M$8:$M$127,投資回収_月次!$B$8:$B$127,J$5)/1000</f>
        <v>37.5</v>
      </c>
      <c r="K78" s="34" t="n">
        <f aca="false">SUMIFS(投資回収_月次!$M$8:$M$127,投資回収_月次!$B$8:$B$127,K$5)/1000</f>
        <v>37.5</v>
      </c>
      <c r="L78" s="34" t="n">
        <f aca="false">SUMIFS(投資回収_月次!$M$8:$M$127,投資回収_月次!$B$8:$B$127,L$5)/1000</f>
        <v>37.5</v>
      </c>
      <c r="M78" s="34" t="n">
        <f aca="false">SUMIFS(投資回収_月次!$M$8:$M$127,投資回収_月次!$B$8:$B$127,M$5)/1000</f>
        <v>37.5</v>
      </c>
      <c r="N78" s="34" t="n">
        <f aca="false">SUMIFS(投資回収_月次!$M$8:$M$127,投資回収_月次!$B$8:$B$127,N$5)/1000</f>
        <v>37.5</v>
      </c>
      <c r="O78" s="93" t="n">
        <f aca="false">SUM(C78:N78)</f>
        <v>187.5</v>
      </c>
      <c r="P78" s="93" t="n">
        <f aca="false">SUM(I78:N78)</f>
        <v>187.5</v>
      </c>
      <c r="Q78" s="14" t="s">
        <v>437</v>
      </c>
    </row>
    <row r="79" customFormat="false" ht="15" hidden="false" customHeight="false" outlineLevel="0" collapsed="false">
      <c r="B79" s="5" t="s">
        <v>438</v>
      </c>
      <c r="C79" s="34" t="n">
        <f aca="false">SUMIFS(投資回収_月次!$R$8:$R$127,投資回収_月次!$B$8:$B$127,C$5)/1000</f>
        <v>0</v>
      </c>
      <c r="D79" s="34" t="n">
        <f aca="false">SUMIFS(投資回収_月次!$R$8:$R$127,投資回収_月次!$B$8:$B$127,D$5)/1000</f>
        <v>0</v>
      </c>
      <c r="E79" s="34" t="n">
        <f aca="false">SUMIFS(投資回収_月次!$R$8:$R$127,投資回収_月次!$B$8:$B$127,E$5)/1000</f>
        <v>0</v>
      </c>
      <c r="F79" s="34" t="n">
        <f aca="false">SUMIFS(投資回収_月次!$R$8:$R$127,投資回収_月次!$B$8:$B$127,F$5)/1000</f>
        <v>0</v>
      </c>
      <c r="G79" s="34" t="n">
        <f aca="false">SUMIFS(投資回収_月次!$R$8:$R$127,投資回収_月次!$B$8:$B$127,G$5)/1000</f>
        <v>0</v>
      </c>
      <c r="H79" s="34" t="n">
        <f aca="false">SUMIFS(投資回収_月次!$R$8:$R$127,投資回収_月次!$B$8:$B$127,H$5)/1000</f>
        <v>0</v>
      </c>
      <c r="I79" s="34" t="n">
        <f aca="false">SUMIFS(投資回収_月次!$R$8:$R$127,投資回収_月次!$B$8:$B$127,I$5)/1000</f>
        <v>0</v>
      </c>
      <c r="J79" s="34" t="n">
        <f aca="false">SUMIFS(投資回収_月次!$R$8:$R$127,投資回収_月次!$B$8:$B$127,J$5)/1000</f>
        <v>4.16666666666667</v>
      </c>
      <c r="K79" s="34" t="n">
        <f aca="false">SUMIFS(投資回収_月次!$R$8:$R$127,投資回収_月次!$B$8:$B$127,K$5)/1000</f>
        <v>4.16666666666667</v>
      </c>
      <c r="L79" s="34" t="n">
        <f aca="false">SUMIFS(投資回収_月次!$R$8:$R$127,投資回収_月次!$B$8:$B$127,L$5)/1000</f>
        <v>4.16666666666667</v>
      </c>
      <c r="M79" s="34" t="n">
        <f aca="false">SUMIFS(投資回収_月次!$R$8:$R$127,投資回収_月次!$B$8:$B$127,M$5)/1000</f>
        <v>4.16666666666667</v>
      </c>
      <c r="N79" s="34" t="n">
        <f aca="false">SUMIFS(投資回収_月次!$R$8:$R$127,投資回収_月次!$B$8:$B$127,N$5)/1000</f>
        <v>4.16666666666667</v>
      </c>
      <c r="O79" s="93" t="n">
        <f aca="false">SUM(C79:N79)</f>
        <v>20.8333333333333</v>
      </c>
      <c r="P79" s="93" t="n">
        <f aca="false">SUM(I79:N79)</f>
        <v>20.8333333333333</v>
      </c>
      <c r="Q79" s="14" t="s">
        <v>439</v>
      </c>
    </row>
    <row r="80" customFormat="false" ht="15" hidden="false" customHeight="false" outlineLevel="0" collapsed="false">
      <c r="B80" s="5" t="s">
        <v>440</v>
      </c>
      <c r="C80" s="34" t="n">
        <f aca="false">SUMIFS(投資回収_月次!$S$8:$S$127,投資回収_月次!$B$8:$B$127,C$5)/1000</f>
        <v>0</v>
      </c>
      <c r="D80" s="34" t="n">
        <f aca="false">SUMIFS(投資回収_月次!$S$8:$S$127,投資回収_月次!$B$8:$B$127,D$5)/1000</f>
        <v>0</v>
      </c>
      <c r="E80" s="34" t="n">
        <f aca="false">SUMIFS(投資回収_月次!$S$8:$S$127,投資回収_月次!$B$8:$B$127,E$5)/1000</f>
        <v>0</v>
      </c>
      <c r="F80" s="34" t="n">
        <f aca="false">SUMIFS(投資回収_月次!$S$8:$S$127,投資回収_月次!$B$8:$B$127,F$5)/1000</f>
        <v>0</v>
      </c>
      <c r="G80" s="34" t="n">
        <f aca="false">SUMIFS(投資回収_月次!$S$8:$S$127,投資回収_月次!$B$8:$B$127,G$5)/1000</f>
        <v>0</v>
      </c>
      <c r="H80" s="34" t="n">
        <f aca="false">SUMIFS(投資回収_月次!$S$8:$S$127,投資回収_月次!$B$8:$B$127,H$5)/1000</f>
        <v>0</v>
      </c>
      <c r="I80" s="34" t="n">
        <f aca="false">SUMIFS(投資回収_月次!$S$8:$S$127,投資回収_月次!$B$8:$B$127,I$5)/1000</f>
        <v>0</v>
      </c>
      <c r="J80" s="34" t="n">
        <f aca="false">SUMIFS(投資回収_月次!$S$8:$S$127,投資回収_月次!$B$8:$B$127,J$5)/1000</f>
        <v>0</v>
      </c>
      <c r="K80" s="34" t="n">
        <f aca="false">SUMIFS(投資回収_月次!$S$8:$S$127,投資回収_月次!$B$8:$B$127,K$5)/1000</f>
        <v>0</v>
      </c>
      <c r="L80" s="34" t="n">
        <f aca="false">SUMIFS(投資回収_月次!$S$8:$S$127,投資回収_月次!$B$8:$B$127,L$5)/1000</f>
        <v>0</v>
      </c>
      <c r="M80" s="34" t="n">
        <f aca="false">SUMIFS(投資回収_月次!$S$8:$S$127,投資回収_月次!$B$8:$B$127,M$5)/1000</f>
        <v>0</v>
      </c>
      <c r="N80" s="34" t="n">
        <f aca="false">SUMIFS(投資回収_月次!$S$8:$S$127,投資回収_月次!$B$8:$B$127,N$5)/1000</f>
        <v>0</v>
      </c>
      <c r="O80" s="93" t="n">
        <f aca="false">SUM(C80:N80)</f>
        <v>0</v>
      </c>
      <c r="P80" s="93" t="n">
        <f aca="false">SUM(I80:N80)</f>
        <v>0</v>
      </c>
      <c r="Q80" s="14" t="s">
        <v>441</v>
      </c>
    </row>
    <row r="81" customFormat="false" ht="15" hidden="false" customHeight="false" outlineLevel="0" collapsed="false">
      <c r="B81" s="12" t="s">
        <v>442</v>
      </c>
      <c r="C81" s="113" t="n">
        <f aca="false">SUM(C74:C80)</f>
        <v>0</v>
      </c>
      <c r="D81" s="113" t="n">
        <f aca="false">SUM(D74:D80)</f>
        <v>0</v>
      </c>
      <c r="E81" s="113" t="n">
        <f aca="false">SUM(E74:E80)</f>
        <v>0</v>
      </c>
      <c r="F81" s="113" t="n">
        <f aca="false">SUM(F74:F80)</f>
        <v>0</v>
      </c>
      <c r="G81" s="113" t="n">
        <f aca="false">SUM(G74:G80)</f>
        <v>0</v>
      </c>
      <c r="H81" s="113" t="n">
        <f aca="false">SUM(H74:H80)</f>
        <v>0</v>
      </c>
      <c r="I81" s="113" t="n">
        <f aca="false">SUM(I74:I80)</f>
        <v>0</v>
      </c>
      <c r="J81" s="113" t="n">
        <f aca="false">SUM(J74:J80)</f>
        <v>-108.641333333333</v>
      </c>
      <c r="K81" s="113" t="n">
        <f aca="false">SUM(K74:K80)</f>
        <v>-125.549333333333</v>
      </c>
      <c r="L81" s="113" t="n">
        <f aca="false">SUM(L74:L80)</f>
        <v>-119.913333333333</v>
      </c>
      <c r="M81" s="113" t="n">
        <f aca="false">SUM(M74:M80)</f>
        <v>-125.549333333333</v>
      </c>
      <c r="N81" s="113" t="n">
        <f aca="false">SUM(N74:N80)</f>
        <v>-119.913333333333</v>
      </c>
      <c r="O81" s="113" t="n">
        <f aca="false">SUM(O74:O80)</f>
        <v>-599.566666666667</v>
      </c>
      <c r="P81" s="113" t="n">
        <f aca="false">SUM(P74:P80)</f>
        <v>-599.566666666667</v>
      </c>
    </row>
    <row r="82" customFormat="false" ht="15" hidden="false" customHeight="false" outlineLevel="0" collapsed="false">
      <c r="B82" s="114" t="s">
        <v>105</v>
      </c>
      <c r="C82" s="115" t="n">
        <f aca="false">-C81</f>
        <v>-0</v>
      </c>
      <c r="D82" s="115" t="n">
        <f aca="false">-D81</f>
        <v>-0</v>
      </c>
      <c r="E82" s="115" t="n">
        <f aca="false">-E81</f>
        <v>-0</v>
      </c>
      <c r="F82" s="115" t="n">
        <f aca="false">-F81</f>
        <v>-0</v>
      </c>
      <c r="G82" s="115" t="n">
        <f aca="false">-G81</f>
        <v>-0</v>
      </c>
      <c r="H82" s="115" t="n">
        <f aca="false">-H81</f>
        <v>-0</v>
      </c>
      <c r="I82" s="115" t="n">
        <f aca="false">-I81</f>
        <v>-0</v>
      </c>
      <c r="J82" s="115" t="n">
        <f aca="false">-J81</f>
        <v>108.641333333333</v>
      </c>
      <c r="K82" s="115" t="n">
        <f aca="false">-K81</f>
        <v>125.549333333333</v>
      </c>
      <c r="L82" s="115" t="n">
        <f aca="false">-L81</f>
        <v>119.913333333333</v>
      </c>
      <c r="M82" s="115" t="n">
        <f aca="false">-M81</f>
        <v>125.549333333333</v>
      </c>
      <c r="N82" s="115" t="n">
        <f aca="false">-N81</f>
        <v>119.913333333333</v>
      </c>
      <c r="O82" s="115" t="n">
        <f aca="false">-O81</f>
        <v>599.566666666667</v>
      </c>
      <c r="P82" s="115" t="n">
        <f aca="false">-P81</f>
        <v>599.566666666667</v>
      </c>
    </row>
    <row r="83" customFormat="false" ht="15" hidden="false" customHeight="false" outlineLevel="0" collapsed="false">
      <c r="B83" s="62" t="s">
        <v>443</v>
      </c>
      <c r="C83" s="116" t="n">
        <f aca="false">-SUM(C74:C77)</f>
        <v>-0</v>
      </c>
      <c r="D83" s="116" t="n">
        <f aca="false">-SUM(D74:D77)</f>
        <v>-0</v>
      </c>
      <c r="E83" s="116" t="n">
        <f aca="false">-SUM(E74:E77)</f>
        <v>-0</v>
      </c>
      <c r="F83" s="116" t="n">
        <f aca="false">-SUM(F74:F77)</f>
        <v>-0</v>
      </c>
      <c r="G83" s="116" t="n">
        <f aca="false">-SUM(G74:G77)</f>
        <v>-0</v>
      </c>
      <c r="H83" s="116" t="n">
        <f aca="false">-SUM(H74:H77)</f>
        <v>-0</v>
      </c>
      <c r="I83" s="116" t="n">
        <f aca="false">-SUM(I74:I77)</f>
        <v>-0</v>
      </c>
      <c r="J83" s="116" t="n">
        <f aca="false">-SUM(J74:J77)</f>
        <v>150.308</v>
      </c>
      <c r="K83" s="116" t="n">
        <f aca="false">-SUM(K74:K77)</f>
        <v>167.216</v>
      </c>
      <c r="L83" s="116" t="n">
        <f aca="false">-SUM(L74:L77)</f>
        <v>161.58</v>
      </c>
      <c r="M83" s="116" t="n">
        <f aca="false">-SUM(M74:M77)</f>
        <v>167.216</v>
      </c>
      <c r="N83" s="116" t="n">
        <f aca="false">-SUM(N74:N77)</f>
        <v>161.58</v>
      </c>
      <c r="O83" s="116" t="n">
        <f aca="false">-SUM(O74:O77)</f>
        <v>807.9</v>
      </c>
      <c r="P83" s="116" t="n">
        <f aca="false">-SUM(P74:P77)</f>
        <v>807.9</v>
      </c>
    </row>
    <row r="84" customFormat="false" ht="15" hidden="false" customHeight="false" outlineLevel="0" collapsed="false">
      <c r="B84" s="62" t="s">
        <v>444</v>
      </c>
      <c r="C84" s="117" t="str">
        <f aca="false">IF((C78+C79)=0,"-",C83/(C78+C79))</f>
        <v>-</v>
      </c>
      <c r="D84" s="117" t="str">
        <f aca="false">IF((D78+D79)=0,"-",D83/(D78+D79))</f>
        <v>-</v>
      </c>
      <c r="E84" s="117" t="str">
        <f aca="false">IF((E78+E79)=0,"-",E83/(E78+E79))</f>
        <v>-</v>
      </c>
      <c r="F84" s="117" t="str">
        <f aca="false">IF((F78+F79)=0,"-",F83/(F78+F79))</f>
        <v>-</v>
      </c>
      <c r="G84" s="117" t="str">
        <f aca="false">IF((G78+G79)=0,"-",G83/(G78+G79))</f>
        <v>-</v>
      </c>
      <c r="H84" s="117" t="str">
        <f aca="false">IF((H78+H79)=0,"-",H83/(H78+H79))</f>
        <v>-</v>
      </c>
      <c r="I84" s="117" t="str">
        <f aca="false">IF((I78+I79)=0,"-",I83/(I78+I79))</f>
        <v>-</v>
      </c>
      <c r="J84" s="117" t="n">
        <f aca="false">IF((J78+J79)=0,"-",J83/(J78+J79))</f>
        <v>3.607392</v>
      </c>
      <c r="K84" s="117" t="n">
        <f aca="false">IF((K78+K79)=0,"-",K83/(K78+K79))</f>
        <v>4.013184</v>
      </c>
      <c r="L84" s="117" t="n">
        <f aca="false">IF((L78+L79)=0,"-",L83/(L78+L79))</f>
        <v>3.87792</v>
      </c>
      <c r="M84" s="117" t="n">
        <f aca="false">IF((M78+M79)=0,"-",M83/(M78+M79))</f>
        <v>4.013184</v>
      </c>
      <c r="N84" s="117" t="n">
        <f aca="false">IF((N78+N79)=0,"-",N83/(N78+N79))</f>
        <v>3.87792</v>
      </c>
      <c r="O84" s="117" t="n">
        <f aca="false">IF((O78+O79)=0,"-",O83/(O78+O79))</f>
        <v>3.87792</v>
      </c>
      <c r="P84" s="117" t="n">
        <f aca="false">IF((P78+P79)=0,"-",P83/(P78+P79))</f>
        <v>3.87792</v>
      </c>
      <c r="Q84" s="14" t="s">
        <v>445</v>
      </c>
    </row>
    <row r="86" customFormat="false" ht="15" hidden="false" customHeight="false" outlineLevel="0" collapsed="false">
      <c r="B86" s="3" t="s">
        <v>446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customFormat="false" ht="15" hidden="false" customHeight="false" outlineLevel="0" collapsed="false">
      <c r="B87" s="12" t="s">
        <v>323</v>
      </c>
      <c r="C87" s="118" t="n">
        <f aca="false">C8</f>
        <v>787800</v>
      </c>
      <c r="D87" s="118" t="n">
        <f aca="false">D8</f>
        <v>836803.384</v>
      </c>
      <c r="E87" s="118" t="n">
        <f aca="false">E8</f>
        <v>747600</v>
      </c>
      <c r="F87" s="118" t="n">
        <f aca="false">F8</f>
        <v>772524.471</v>
      </c>
      <c r="G87" s="118" t="n">
        <f aca="false">G8</f>
        <v>750295.52</v>
      </c>
      <c r="H87" s="118" t="n">
        <f aca="false">H8</f>
        <v>847205.75</v>
      </c>
      <c r="I87" s="118" t="n">
        <f aca="false">I8</f>
        <v>770219.863</v>
      </c>
      <c r="J87" s="118" t="n">
        <f aca="false">J8</f>
        <v>729600</v>
      </c>
      <c r="K87" s="118" t="n">
        <f aca="false">K8</f>
        <v>826500</v>
      </c>
      <c r="L87" s="118" t="n">
        <f aca="false">L8</f>
        <v>792000</v>
      </c>
      <c r="M87" s="118" t="n">
        <f aca="false">M8</f>
        <v>802000</v>
      </c>
      <c r="N87" s="118" t="n">
        <f aca="false">N8</f>
        <v>777000</v>
      </c>
      <c r="O87" s="93" t="n">
        <f aca="false">SUM(C87:N87)</f>
        <v>9439548.988</v>
      </c>
      <c r="P87" s="93" t="n">
        <f aca="false">SUM(I87:N87)</f>
        <v>4697319.863</v>
      </c>
    </row>
    <row r="88" customFormat="false" ht="15" hidden="false" customHeight="false" outlineLevel="0" collapsed="false">
      <c r="B88" s="12" t="s">
        <v>324</v>
      </c>
      <c r="C88" s="118" t="n">
        <f aca="false">C9</f>
        <v>224170</v>
      </c>
      <c r="D88" s="118" t="n">
        <f aca="false">D9</f>
        <v>237991.384</v>
      </c>
      <c r="E88" s="118" t="n">
        <f aca="false">E9</f>
        <v>212690</v>
      </c>
      <c r="F88" s="118" t="n">
        <f aca="false">F9</f>
        <v>219664.471</v>
      </c>
      <c r="G88" s="118" t="n">
        <f aca="false">G9</f>
        <v>213231.52</v>
      </c>
      <c r="H88" s="118" t="n">
        <f aca="false">H9</f>
        <v>240495.75</v>
      </c>
      <c r="I88" s="118" t="n">
        <f aca="false">I9</f>
        <v>218795.863</v>
      </c>
      <c r="J88" s="118" t="n">
        <f aca="false">J9</f>
        <v>207111.4</v>
      </c>
      <c r="K88" s="118" t="n">
        <f aca="false">K9</f>
        <v>234509</v>
      </c>
      <c r="L88" s="118" t="n">
        <f aca="false">L9</f>
        <v>224780</v>
      </c>
      <c r="M88" s="118" t="n">
        <f aca="false">M9</f>
        <v>227600</v>
      </c>
      <c r="N88" s="118" t="n">
        <f aca="false">N9</f>
        <v>219247.2686</v>
      </c>
      <c r="O88" s="93" t="n">
        <f aca="false">SUM(C88:N88)</f>
        <v>2680286.6566</v>
      </c>
      <c r="P88" s="93" t="n">
        <f aca="false">SUM(I88:N88)</f>
        <v>1332043.5316</v>
      </c>
    </row>
    <row r="89" customFormat="false" ht="15" hidden="false" customHeight="false" outlineLevel="0" collapsed="false">
      <c r="B89" s="5" t="s">
        <v>325</v>
      </c>
      <c r="C89" s="108" t="n">
        <f aca="false">IF(C87=0,0,C88/C87)</f>
        <v>0.284551916730135</v>
      </c>
      <c r="D89" s="108" t="n">
        <f aca="false">IF(D87=0,0,D88/D87)</f>
        <v>0.284405379507882</v>
      </c>
      <c r="E89" s="108" t="n">
        <f aca="false">IF(E87=0,0,E88/E87)</f>
        <v>0.284497057249866</v>
      </c>
      <c r="F89" s="108" t="n">
        <f aca="false">IF(F87=0,0,F88/F87)</f>
        <v>0.284346294837306</v>
      </c>
      <c r="G89" s="108" t="n">
        <f aca="false">IF(G87=0,0,G88/G87)</f>
        <v>0.284196712250128</v>
      </c>
      <c r="H89" s="108" t="n">
        <f aca="false">IF(H87=0,0,H88/H87)</f>
        <v>0.283869355230415</v>
      </c>
      <c r="I89" s="108" t="n">
        <f aca="false">IF(I87=0,0,I88/I87)</f>
        <v>0.284069359296697</v>
      </c>
      <c r="J89" s="108" t="n">
        <f aca="false">IF(J87=0,0,J88/J87)</f>
        <v>0.283869791666667</v>
      </c>
      <c r="K89" s="108" t="n">
        <f aca="false">IF(K87=0,0,K88/K87)</f>
        <v>0.283737447065941</v>
      </c>
      <c r="L89" s="108" t="n">
        <f aca="false">IF(L87=0,0,L88/L87)</f>
        <v>0.283813131313131</v>
      </c>
      <c r="M89" s="108" t="n">
        <f aca="false">IF(M87=0,0,M88/M87)</f>
        <v>0.283790523690773</v>
      </c>
      <c r="N89" s="108" t="n">
        <f aca="false">IF(N87=0,0,N88/N87)</f>
        <v>0.282171516859717</v>
      </c>
      <c r="O89" s="108" t="n">
        <f aca="false">IF(O87=0,0,O88/O87)</f>
        <v>0.283942237071634</v>
      </c>
      <c r="P89" s="108" t="n">
        <f aca="false">IF(P87=0,0,P88/P87)</f>
        <v>0.283575223840361</v>
      </c>
    </row>
    <row r="90" customFormat="false" ht="15" hidden="true" customHeight="false" outlineLevel="1" collapsed="false">
      <c r="B90" s="5" t="s">
        <v>326</v>
      </c>
      <c r="C90" s="93" t="n">
        <f aca="false">C11</f>
        <v>785000</v>
      </c>
      <c r="D90" s="93" t="n">
        <f aca="false">D11</f>
        <v>834000</v>
      </c>
      <c r="E90" s="93" t="n">
        <f aca="false">E11</f>
        <v>745000</v>
      </c>
      <c r="F90" s="93" t="n">
        <f aca="false">F11</f>
        <v>770000</v>
      </c>
      <c r="G90" s="93" t="n">
        <f aca="false">G11</f>
        <v>748000</v>
      </c>
      <c r="H90" s="93" t="n">
        <f aca="false">H11</f>
        <v>845000</v>
      </c>
      <c r="I90" s="93" t="n">
        <f aca="false">I11</f>
        <v>768000</v>
      </c>
      <c r="J90" s="93" t="n">
        <f aca="false">J11</f>
        <v>727700</v>
      </c>
      <c r="K90" s="93" t="n">
        <f aca="false">K11</f>
        <v>824500</v>
      </c>
      <c r="L90" s="93" t="n">
        <f aca="false">L11</f>
        <v>790000</v>
      </c>
      <c r="M90" s="93" t="n">
        <f aca="false">M11</f>
        <v>800000</v>
      </c>
      <c r="N90" s="93" t="n">
        <f aca="false">N11</f>
        <v>775000</v>
      </c>
      <c r="O90" s="93" t="n">
        <f aca="false">SUM(C90:N90)</f>
        <v>9412200</v>
      </c>
      <c r="P90" s="93" t="n">
        <f aca="false">SUM(I90:N90)</f>
        <v>4685200</v>
      </c>
    </row>
    <row r="91" customFormat="false" ht="15" hidden="true" customHeight="false" outlineLevel="1" collapsed="false">
      <c r="B91" s="5" t="s">
        <v>327</v>
      </c>
      <c r="C91" s="93" t="n">
        <f aca="false">C12</f>
        <v>213520</v>
      </c>
      <c r="D91" s="93" t="n">
        <f aca="false">D12</f>
        <v>226848</v>
      </c>
      <c r="E91" s="93" t="n">
        <f aca="false">E12</f>
        <v>202640</v>
      </c>
      <c r="F91" s="93" t="n">
        <f aca="false">F12</f>
        <v>209440</v>
      </c>
      <c r="G91" s="93" t="n">
        <f aca="false">G12</f>
        <v>203456</v>
      </c>
      <c r="H91" s="93" t="n">
        <f aca="false">H12</f>
        <v>229840</v>
      </c>
      <c r="I91" s="93" t="n">
        <f aca="false">I12</f>
        <v>208896</v>
      </c>
      <c r="J91" s="93" t="n">
        <f aca="false">J12</f>
        <v>197934.4</v>
      </c>
      <c r="K91" s="93" t="n">
        <f aca="false">K12</f>
        <v>224264</v>
      </c>
      <c r="L91" s="93" t="n">
        <f aca="false">L12</f>
        <v>214880</v>
      </c>
      <c r="M91" s="93" t="n">
        <f aca="false">M12</f>
        <v>217600</v>
      </c>
      <c r="N91" s="93" t="n">
        <f aca="false">N12</f>
        <v>210800</v>
      </c>
      <c r="O91" s="93" t="n">
        <f aca="false">SUM(C91:N91)</f>
        <v>2560118.4</v>
      </c>
      <c r="P91" s="93" t="n">
        <f aca="false">SUM(I91:N91)</f>
        <v>1274374.4</v>
      </c>
    </row>
    <row r="92" customFormat="false" ht="15" hidden="true" customHeight="false" outlineLevel="1" collapsed="false">
      <c r="B92" s="5" t="s">
        <v>328</v>
      </c>
      <c r="C92" s="108" t="n">
        <f aca="false">IF(C90=0,0,C91/C90)</f>
        <v>0.272</v>
      </c>
      <c r="D92" s="108" t="n">
        <f aca="false">IF(D90=0,0,D91/D90)</f>
        <v>0.272</v>
      </c>
      <c r="E92" s="108" t="n">
        <f aca="false">IF(E90=0,0,E91/E90)</f>
        <v>0.272</v>
      </c>
      <c r="F92" s="108" t="n">
        <f aca="false">IF(F90=0,0,F91/F90)</f>
        <v>0.272</v>
      </c>
      <c r="G92" s="108" t="n">
        <f aca="false">IF(G90=0,0,G91/G90)</f>
        <v>0.272</v>
      </c>
      <c r="H92" s="108" t="n">
        <f aca="false">IF(H90=0,0,H91/H90)</f>
        <v>0.272</v>
      </c>
      <c r="I92" s="108" t="n">
        <f aca="false">IF(I90=0,0,I91/I90)</f>
        <v>0.272</v>
      </c>
      <c r="J92" s="108" t="n">
        <f aca="false">IF(J90=0,0,J91/J90)</f>
        <v>0.272</v>
      </c>
      <c r="K92" s="108" t="n">
        <f aca="false">IF(K90=0,0,K91/K90)</f>
        <v>0.272</v>
      </c>
      <c r="L92" s="108" t="n">
        <f aca="false">IF(L90=0,0,L91/L90)</f>
        <v>0.272</v>
      </c>
      <c r="M92" s="108" t="n">
        <f aca="false">IF(M90=0,0,M91/M90)</f>
        <v>0.272</v>
      </c>
      <c r="N92" s="108" t="n">
        <f aca="false">IF(N90=0,0,N91/N90)</f>
        <v>0.272</v>
      </c>
      <c r="O92" s="108" t="n">
        <f aca="false">IF(O90=0,0,O91/O90)</f>
        <v>0.272</v>
      </c>
      <c r="P92" s="108" t="n">
        <f aca="false">IF(P90=0,0,P91/P90)</f>
        <v>0.272</v>
      </c>
    </row>
    <row r="93" customFormat="false" ht="15" hidden="true" customHeight="false" outlineLevel="1" collapsed="false">
      <c r="B93" s="5" t="s">
        <v>329</v>
      </c>
      <c r="C93" s="93" t="n">
        <f aca="false">C14</f>
        <v>2800</v>
      </c>
      <c r="D93" s="93" t="n">
        <f aca="false">D14</f>
        <v>2803.384</v>
      </c>
      <c r="E93" s="93" t="n">
        <f aca="false">E14</f>
        <v>2600</v>
      </c>
      <c r="F93" s="93" t="n">
        <f aca="false">F14</f>
        <v>2524.471</v>
      </c>
      <c r="G93" s="93" t="n">
        <f aca="false">G14</f>
        <v>2295.52</v>
      </c>
      <c r="H93" s="93" t="n">
        <f aca="false">H14</f>
        <v>2205.75</v>
      </c>
      <c r="I93" s="93" t="n">
        <f aca="false">I14</f>
        <v>2219.863</v>
      </c>
      <c r="J93" s="93" t="n">
        <f aca="false">J14</f>
        <v>1900</v>
      </c>
      <c r="K93" s="93" t="n">
        <f aca="false">K14</f>
        <v>2000</v>
      </c>
      <c r="L93" s="93" t="n">
        <f aca="false">L14</f>
        <v>2000</v>
      </c>
      <c r="M93" s="93" t="n">
        <f aca="false">M14</f>
        <v>2000</v>
      </c>
      <c r="N93" s="93" t="n">
        <f aca="false">N14</f>
        <v>2000</v>
      </c>
      <c r="O93" s="93" t="n">
        <f aca="false">SUM(C93:N93)</f>
        <v>27348.988</v>
      </c>
      <c r="P93" s="93" t="n">
        <f aca="false">SUM(I93:N93)</f>
        <v>12119.863</v>
      </c>
    </row>
    <row r="94" customFormat="false" ht="15" hidden="true" customHeight="false" outlineLevel="1" collapsed="false">
      <c r="B94" s="5" t="s">
        <v>330</v>
      </c>
      <c r="C94" s="93" t="n">
        <f aca="false">C15</f>
        <v>2800</v>
      </c>
      <c r="D94" s="93" t="n">
        <f aca="false">D15</f>
        <v>2803.384</v>
      </c>
      <c r="E94" s="93" t="n">
        <f aca="false">E15</f>
        <v>2600</v>
      </c>
      <c r="F94" s="93" t="n">
        <f aca="false">F15</f>
        <v>2524.471</v>
      </c>
      <c r="G94" s="93" t="n">
        <f aca="false">G15</f>
        <v>2295.52</v>
      </c>
      <c r="H94" s="93" t="n">
        <f aca="false">H15</f>
        <v>2205.75</v>
      </c>
      <c r="I94" s="93" t="n">
        <f aca="false">I15</f>
        <v>2219.863</v>
      </c>
      <c r="J94" s="93" t="n">
        <f aca="false">J15</f>
        <v>1900</v>
      </c>
      <c r="K94" s="93" t="n">
        <f aca="false">K15</f>
        <v>2000</v>
      </c>
      <c r="L94" s="93" t="n">
        <f aca="false">L15</f>
        <v>2000</v>
      </c>
      <c r="M94" s="93" t="n">
        <f aca="false">M15</f>
        <v>2000</v>
      </c>
      <c r="N94" s="93" t="n">
        <f aca="false">N15</f>
        <v>2000</v>
      </c>
      <c r="O94" s="93" t="n">
        <f aca="false">SUM(C94:N94)</f>
        <v>27348.988</v>
      </c>
      <c r="P94" s="93" t="n">
        <f aca="false">SUM(I94:N94)</f>
        <v>12119.863</v>
      </c>
    </row>
    <row r="95" customFormat="false" ht="15" hidden="true" customHeight="false" outlineLevel="1" collapsed="false">
      <c r="B95" s="5" t="s">
        <v>328</v>
      </c>
      <c r="C95" s="108" t="n">
        <f aca="false">IF(C93=0,0,C94/C93)</f>
        <v>1</v>
      </c>
      <c r="D95" s="108" t="n">
        <f aca="false">IF(D93=0,0,D94/D93)</f>
        <v>1</v>
      </c>
      <c r="E95" s="108" t="n">
        <f aca="false">IF(E93=0,0,E94/E93)</f>
        <v>1</v>
      </c>
      <c r="F95" s="108" t="n">
        <f aca="false">IF(F93=0,0,F94/F93)</f>
        <v>1</v>
      </c>
      <c r="G95" s="108" t="n">
        <f aca="false">IF(G93=0,0,G94/G93)</f>
        <v>1</v>
      </c>
      <c r="H95" s="108" t="n">
        <f aca="false">IF(H93=0,0,H94/H93)</f>
        <v>1</v>
      </c>
      <c r="I95" s="108" t="n">
        <f aca="false">IF(I93=0,0,I94/I93)</f>
        <v>1</v>
      </c>
      <c r="J95" s="108" t="n">
        <f aca="false">IF(J93=0,0,J94/J93)</f>
        <v>1</v>
      </c>
      <c r="K95" s="108" t="n">
        <f aca="false">IF(K93=0,0,K94/K93)</f>
        <v>1</v>
      </c>
      <c r="L95" s="108" t="n">
        <f aca="false">IF(L93=0,0,L94/L93)</f>
        <v>1</v>
      </c>
      <c r="M95" s="108" t="n">
        <f aca="false">IF(M93=0,0,M94/M93)</f>
        <v>1</v>
      </c>
      <c r="N95" s="108" t="n">
        <f aca="false">IF(N93=0,0,N94/N93)</f>
        <v>1</v>
      </c>
      <c r="O95" s="108" t="n">
        <f aca="false">IF(O93=0,0,O94/O93)</f>
        <v>1</v>
      </c>
      <c r="P95" s="108" t="n">
        <f aca="false">IF(P93=0,0,P94/P93)</f>
        <v>1</v>
      </c>
    </row>
    <row r="96" customFormat="false" ht="15" hidden="true" customHeight="false" outlineLevel="1" collapsed="false">
      <c r="B96" s="5" t="s">
        <v>331</v>
      </c>
      <c r="C96" s="93" t="n">
        <f aca="false">C17</f>
        <v>0</v>
      </c>
      <c r="D96" s="93" t="n">
        <f aca="false">D17</f>
        <v>0</v>
      </c>
      <c r="E96" s="93" t="n">
        <f aca="false">E17</f>
        <v>0</v>
      </c>
      <c r="F96" s="93" t="n">
        <f aca="false">F17</f>
        <v>0</v>
      </c>
      <c r="G96" s="93" t="n">
        <f aca="false">G17</f>
        <v>0</v>
      </c>
      <c r="H96" s="93" t="n">
        <f aca="false">H17</f>
        <v>0</v>
      </c>
      <c r="I96" s="93" t="n">
        <f aca="false">I17</f>
        <v>0</v>
      </c>
      <c r="J96" s="93" t="n">
        <f aca="false">J17</f>
        <v>0</v>
      </c>
      <c r="K96" s="93" t="n">
        <f aca="false">K17</f>
        <v>0</v>
      </c>
      <c r="L96" s="93" t="n">
        <f aca="false">L17</f>
        <v>0</v>
      </c>
      <c r="M96" s="93" t="n">
        <f aca="false">M17</f>
        <v>0</v>
      </c>
      <c r="N96" s="93" t="n">
        <f aca="false">N17</f>
        <v>0</v>
      </c>
      <c r="O96" s="93" t="n">
        <f aca="false">SUM(C96:N96)</f>
        <v>0</v>
      </c>
      <c r="P96" s="93" t="n">
        <f aca="false">SUM(I96:N96)</f>
        <v>0</v>
      </c>
    </row>
    <row r="97" customFormat="false" ht="15" hidden="true" customHeight="false" outlineLevel="1" collapsed="false">
      <c r="B97" s="5" t="s">
        <v>332</v>
      </c>
      <c r="C97" s="93" t="n">
        <f aca="false">C18</f>
        <v>0</v>
      </c>
      <c r="D97" s="93" t="n">
        <f aca="false">D18</f>
        <v>0</v>
      </c>
      <c r="E97" s="93" t="n">
        <f aca="false">E18</f>
        <v>0</v>
      </c>
      <c r="F97" s="93" t="n">
        <f aca="false">F18</f>
        <v>0</v>
      </c>
      <c r="G97" s="93" t="n">
        <f aca="false">G18</f>
        <v>0</v>
      </c>
      <c r="H97" s="93" t="n">
        <f aca="false">H18</f>
        <v>0</v>
      </c>
      <c r="I97" s="93" t="n">
        <f aca="false">I18</f>
        <v>0</v>
      </c>
      <c r="J97" s="93" t="n">
        <f aca="false">J18</f>
        <v>0</v>
      </c>
      <c r="K97" s="93" t="n">
        <f aca="false">K18</f>
        <v>0</v>
      </c>
      <c r="L97" s="93" t="n">
        <f aca="false">L18</f>
        <v>0</v>
      </c>
      <c r="M97" s="93" t="n">
        <f aca="false">M18</f>
        <v>0</v>
      </c>
      <c r="N97" s="93" t="n">
        <f aca="false">N18</f>
        <v>0</v>
      </c>
      <c r="O97" s="93" t="n">
        <f aca="false">SUM(C97:N97)</f>
        <v>0</v>
      </c>
      <c r="P97" s="93" t="n">
        <f aca="false">SUM(I97:N97)</f>
        <v>0</v>
      </c>
    </row>
    <row r="98" customFormat="false" ht="15" hidden="true" customHeight="false" outlineLevel="1" collapsed="false">
      <c r="B98" s="5" t="s">
        <v>328</v>
      </c>
      <c r="C98" s="108" t="n">
        <f aca="false">IF(C96=0,0,C97/C96)</f>
        <v>0</v>
      </c>
      <c r="D98" s="108" t="n">
        <f aca="false">IF(D96=0,0,D97/D96)</f>
        <v>0</v>
      </c>
      <c r="E98" s="108" t="n">
        <f aca="false">IF(E96=0,0,E97/E96)</f>
        <v>0</v>
      </c>
      <c r="F98" s="108" t="n">
        <f aca="false">IF(F96=0,0,F97/F96)</f>
        <v>0</v>
      </c>
      <c r="G98" s="108" t="n">
        <f aca="false">IF(G96=0,0,G97/G96)</f>
        <v>0</v>
      </c>
      <c r="H98" s="108" t="n">
        <f aca="false">IF(H96=0,0,H97/H96)</f>
        <v>0</v>
      </c>
      <c r="I98" s="108" t="n">
        <f aca="false">IF(I96=0,0,I97/I96)</f>
        <v>0</v>
      </c>
      <c r="J98" s="108" t="n">
        <f aca="false">IF(J96=0,0,J97/J96)</f>
        <v>0</v>
      </c>
      <c r="K98" s="108" t="n">
        <f aca="false">IF(K96=0,0,K97/K96)</f>
        <v>0</v>
      </c>
      <c r="L98" s="108" t="n">
        <f aca="false">IF(L96=0,0,L97/L96)</f>
        <v>0</v>
      </c>
      <c r="M98" s="108" t="n">
        <f aca="false">IF(M96=0,0,M97/M96)</f>
        <v>0</v>
      </c>
      <c r="N98" s="108" t="n">
        <f aca="false">IF(N96=0,0,N97/N96)</f>
        <v>0</v>
      </c>
      <c r="O98" s="108" t="n">
        <f aca="false">IF(O96=0,0,O97/O96)</f>
        <v>0</v>
      </c>
      <c r="P98" s="108" t="n">
        <f aca="false">IF(P96=0,0,P97/P96)</f>
        <v>0</v>
      </c>
    </row>
    <row r="99" customFormat="false" ht="15" hidden="true" customHeight="false" outlineLevel="1" collapsed="false">
      <c r="B99" s="5" t="s">
        <v>333</v>
      </c>
      <c r="C99" s="93" t="n">
        <f aca="false">C20</f>
        <v>0</v>
      </c>
      <c r="D99" s="93" t="n">
        <f aca="false">D20</f>
        <v>0</v>
      </c>
      <c r="E99" s="93" t="n">
        <f aca="false">E20</f>
        <v>0</v>
      </c>
      <c r="F99" s="93" t="n">
        <f aca="false">F20</f>
        <v>0</v>
      </c>
      <c r="G99" s="93" t="n">
        <f aca="false">G20</f>
        <v>0</v>
      </c>
      <c r="H99" s="93" t="n">
        <f aca="false">H20</f>
        <v>0</v>
      </c>
      <c r="I99" s="93" t="n">
        <f aca="false">I20</f>
        <v>0</v>
      </c>
      <c r="J99" s="93" t="n">
        <f aca="false">J20</f>
        <v>0</v>
      </c>
      <c r="K99" s="93" t="n">
        <f aca="false">K20</f>
        <v>0</v>
      </c>
      <c r="L99" s="93" t="n">
        <f aca="false">L20</f>
        <v>0</v>
      </c>
      <c r="M99" s="93" t="n">
        <f aca="false">M20</f>
        <v>0</v>
      </c>
      <c r="N99" s="93" t="n">
        <f aca="false">N20</f>
        <v>0</v>
      </c>
      <c r="O99" s="93" t="n">
        <f aca="false">SUM(C99:N99)</f>
        <v>0</v>
      </c>
      <c r="P99" s="93" t="n">
        <f aca="false">SUM(I99:N99)</f>
        <v>0</v>
      </c>
    </row>
    <row r="100" customFormat="false" ht="15" hidden="true" customHeight="false" outlineLevel="1" collapsed="false">
      <c r="B100" s="5" t="s">
        <v>334</v>
      </c>
      <c r="C100" s="93" t="n">
        <f aca="false">C21</f>
        <v>7850</v>
      </c>
      <c r="D100" s="93" t="n">
        <f aca="false">D21</f>
        <v>8340</v>
      </c>
      <c r="E100" s="93" t="n">
        <f aca="false">E21</f>
        <v>7450</v>
      </c>
      <c r="F100" s="93" t="n">
        <f aca="false">F21</f>
        <v>7700</v>
      </c>
      <c r="G100" s="93" t="n">
        <f aca="false">G21</f>
        <v>7480</v>
      </c>
      <c r="H100" s="93" t="n">
        <f aca="false">H21</f>
        <v>8450</v>
      </c>
      <c r="I100" s="93" t="n">
        <f aca="false">I21</f>
        <v>7680</v>
      </c>
      <c r="J100" s="93" t="n">
        <f aca="false">J21</f>
        <v>7277</v>
      </c>
      <c r="K100" s="93" t="n">
        <f aca="false">K21</f>
        <v>8245</v>
      </c>
      <c r="L100" s="93" t="n">
        <f aca="false">L21</f>
        <v>7900</v>
      </c>
      <c r="M100" s="93" t="n">
        <f aca="false">M21</f>
        <v>8000</v>
      </c>
      <c r="N100" s="93" t="n">
        <f aca="false">N21</f>
        <v>6447.2686</v>
      </c>
      <c r="O100" s="93" t="n">
        <f aca="false">SUM(C100:N100)</f>
        <v>92819.2686</v>
      </c>
      <c r="P100" s="93" t="n">
        <f aca="false">SUM(I100:N100)</f>
        <v>45549.2686</v>
      </c>
    </row>
    <row r="101" customFormat="false" ht="15" hidden="true" customHeight="false" outlineLevel="1" collapsed="false">
      <c r="B101" s="5" t="s">
        <v>328</v>
      </c>
      <c r="C101" s="108" t="n">
        <f aca="false">IF(C99=0,0,C100/C99)</f>
        <v>0</v>
      </c>
      <c r="D101" s="108" t="n">
        <f aca="false">IF(D99=0,0,D100/D99)</f>
        <v>0</v>
      </c>
      <c r="E101" s="108" t="n">
        <f aca="false">IF(E99=0,0,E100/E99)</f>
        <v>0</v>
      </c>
      <c r="F101" s="108" t="n">
        <f aca="false">IF(F99=0,0,F100/F99)</f>
        <v>0</v>
      </c>
      <c r="G101" s="108" t="n">
        <f aca="false">IF(G99=0,0,G100/G99)</f>
        <v>0</v>
      </c>
      <c r="H101" s="108" t="n">
        <f aca="false">IF(H99=0,0,H100/H99)</f>
        <v>0</v>
      </c>
      <c r="I101" s="108" t="n">
        <f aca="false">IF(I99=0,0,I100/I99)</f>
        <v>0</v>
      </c>
      <c r="J101" s="108" t="n">
        <f aca="false">IF(J99=0,0,J100/J99)</f>
        <v>0</v>
      </c>
      <c r="K101" s="108" t="n">
        <f aca="false">IF(K99=0,0,K100/K99)</f>
        <v>0</v>
      </c>
      <c r="L101" s="108" t="n">
        <f aca="false">IF(L99=0,0,L100/L99)</f>
        <v>0</v>
      </c>
      <c r="M101" s="108" t="n">
        <f aca="false">IF(M99=0,0,M100/M99)</f>
        <v>0</v>
      </c>
      <c r="N101" s="108" t="n">
        <f aca="false">IF(N99=0,0,N100/N99)</f>
        <v>0</v>
      </c>
      <c r="O101" s="108" t="n">
        <f aca="false">IF(O99=0,0,O100/O99)</f>
        <v>0</v>
      </c>
      <c r="P101" s="108" t="n">
        <f aca="false">IF(P99=0,0,P100/P99)</f>
        <v>0</v>
      </c>
    </row>
    <row r="102" customFormat="false" ht="15" hidden="false" customHeight="false" outlineLevel="0" collapsed="false">
      <c r="B102" s="12" t="s">
        <v>335</v>
      </c>
      <c r="C102" s="118" t="n">
        <f aca="false">SUM(C103:C111)</f>
        <v>137474</v>
      </c>
      <c r="D102" s="118" t="n">
        <f aca="false">SUM(D103:D111)</f>
        <v>138653</v>
      </c>
      <c r="E102" s="118" t="n">
        <f aca="false">SUM(E103:E111)</f>
        <v>141802</v>
      </c>
      <c r="F102" s="118" t="n">
        <f aca="false">SUM(F103:F111)</f>
        <v>140499</v>
      </c>
      <c r="G102" s="118" t="n">
        <f aca="false">SUM(G103:G111)</f>
        <v>133546</v>
      </c>
      <c r="H102" s="118" t="n">
        <f aca="false">SUM(H103:H111)</f>
        <v>144822</v>
      </c>
      <c r="I102" s="118" t="n">
        <f aca="false">SUM(I103:I111)</f>
        <v>144712</v>
      </c>
      <c r="J102" s="118" t="n">
        <f aca="false">SUM(J103:J111)</f>
        <v>134840</v>
      </c>
      <c r="K102" s="118" t="n">
        <f aca="false">SUM(K103:K111)</f>
        <v>143509.75</v>
      </c>
      <c r="L102" s="118" t="n">
        <f aca="false">SUM(L103:L111)</f>
        <v>139173.5</v>
      </c>
      <c r="M102" s="118" t="n">
        <f aca="false">SUM(M103:M111)</f>
        <v>144171.75</v>
      </c>
      <c r="N102" s="118" t="n">
        <f aca="false">SUM(N103:N111)</f>
        <v>142435.5</v>
      </c>
      <c r="O102" s="93" t="n">
        <f aca="false">SUM(C102:N102)</f>
        <v>1685638.5</v>
      </c>
      <c r="P102" s="93" t="n">
        <f aca="false">SUM(I102:N102)</f>
        <v>848842.5</v>
      </c>
      <c r="Q102" s="14" t="s">
        <v>447</v>
      </c>
    </row>
    <row r="103" customFormat="false" ht="15" hidden="false" customHeight="false" outlineLevel="1" collapsed="false">
      <c r="B103" s="5" t="s">
        <v>336</v>
      </c>
      <c r="C103" s="93" t="n">
        <f aca="false">C24</f>
        <v>89240</v>
      </c>
      <c r="D103" s="93" t="n">
        <f aca="false">D24</f>
        <v>91540</v>
      </c>
      <c r="E103" s="93" t="n">
        <f aca="false">E24</f>
        <v>97500</v>
      </c>
      <c r="F103" s="93" t="n">
        <f aca="false">F24</f>
        <v>96250</v>
      </c>
      <c r="G103" s="93" t="n">
        <f aca="false">G24</f>
        <v>86900</v>
      </c>
      <c r="H103" s="93" t="n">
        <f aca="false">H24</f>
        <v>94800</v>
      </c>
      <c r="I103" s="93" t="n">
        <f aca="false">I24</f>
        <v>99450</v>
      </c>
      <c r="J103" s="93" t="n">
        <f aca="false">J24</f>
        <v>90475</v>
      </c>
      <c r="K103" s="93" t="n">
        <f aca="false">K24</f>
        <v>96250</v>
      </c>
      <c r="L103" s="93" t="n">
        <f aca="false">L24</f>
        <v>95000</v>
      </c>
      <c r="M103" s="93" t="n">
        <f aca="false">M24</f>
        <v>95000</v>
      </c>
      <c r="N103" s="93" t="n">
        <f aca="false">N24</f>
        <v>97500</v>
      </c>
      <c r="O103" s="93" t="n">
        <f aca="false">SUM(C103:N103)</f>
        <v>1129905</v>
      </c>
      <c r="P103" s="93" t="n">
        <f aca="false">SUM(I103:N103)</f>
        <v>573675</v>
      </c>
    </row>
    <row r="104" customFormat="false" ht="15" hidden="false" customHeight="false" outlineLevel="1" collapsed="false">
      <c r="B104" s="5" t="s">
        <v>337</v>
      </c>
      <c r="C104" s="93" t="n">
        <f aca="false">C25</f>
        <v>0</v>
      </c>
      <c r="D104" s="93" t="n">
        <f aca="false">D25</f>
        <v>0</v>
      </c>
      <c r="E104" s="93" t="n">
        <f aca="false">E25</f>
        <v>0</v>
      </c>
      <c r="F104" s="93" t="n">
        <f aca="false">F25</f>
        <v>0</v>
      </c>
      <c r="G104" s="93" t="n">
        <f aca="false">G25</f>
        <v>0</v>
      </c>
      <c r="H104" s="93" t="n">
        <f aca="false">H25</f>
        <v>0</v>
      </c>
      <c r="I104" s="93" t="n">
        <f aca="false">I25</f>
        <v>0</v>
      </c>
      <c r="J104" s="93" t="n">
        <f aca="false">J25</f>
        <v>0</v>
      </c>
      <c r="K104" s="93" t="n">
        <f aca="false">K25</f>
        <v>0</v>
      </c>
      <c r="L104" s="93" t="n">
        <f aca="false">L25</f>
        <v>0</v>
      </c>
      <c r="M104" s="93" t="n">
        <f aca="false">M25</f>
        <v>0</v>
      </c>
      <c r="N104" s="93" t="n">
        <f aca="false">N25</f>
        <v>0</v>
      </c>
      <c r="O104" s="93" t="n">
        <f aca="false">SUM(C104:N104)</f>
        <v>0</v>
      </c>
      <c r="P104" s="93" t="n">
        <f aca="false">SUM(I104:N104)</f>
        <v>0</v>
      </c>
    </row>
    <row r="105" customFormat="false" ht="15" hidden="false" customHeight="false" outlineLevel="1" collapsed="false">
      <c r="B105" s="119" t="s">
        <v>338</v>
      </c>
      <c r="C105" s="120" t="n">
        <f aca="false">C26+C74</f>
        <v>18960</v>
      </c>
      <c r="D105" s="120" t="n">
        <f aca="false">D26+D74</f>
        <v>19440</v>
      </c>
      <c r="E105" s="120" t="n">
        <f aca="false">E26+E74</f>
        <v>18000</v>
      </c>
      <c r="F105" s="120" t="n">
        <f aca="false">F26+F74</f>
        <v>18120</v>
      </c>
      <c r="G105" s="120" t="n">
        <f aca="false">G26+G74</f>
        <v>18724</v>
      </c>
      <c r="H105" s="120" t="n">
        <f aca="false">H26+H74</f>
        <v>20336</v>
      </c>
      <c r="I105" s="120" t="n">
        <f aca="false">I26+I74</f>
        <v>18600</v>
      </c>
      <c r="J105" s="120" t="n">
        <f aca="false">J26+J74</f>
        <v>18289</v>
      </c>
      <c r="K105" s="120" t="n">
        <f aca="false">K26+K74</f>
        <v>19661.75</v>
      </c>
      <c r="L105" s="120" t="n">
        <f aca="false">L26+L74</f>
        <v>18427.5</v>
      </c>
      <c r="M105" s="120" t="n">
        <f aca="false">M26+M74</f>
        <v>19413.75</v>
      </c>
      <c r="N105" s="120" t="n">
        <f aca="false">N26+N74</f>
        <v>18551.5</v>
      </c>
      <c r="O105" s="120" t="n">
        <f aca="false">SUM(C105:N105)</f>
        <v>226523.5</v>
      </c>
      <c r="P105" s="120" t="n">
        <f aca="false">SUM(I105:N105)</f>
        <v>112943.5</v>
      </c>
      <c r="Q105" s="67" t="s">
        <v>448</v>
      </c>
    </row>
    <row r="106" customFormat="false" ht="15" hidden="false" customHeight="false" outlineLevel="1" collapsed="false">
      <c r="B106" s="5" t="s">
        <v>339</v>
      </c>
      <c r="C106" s="93" t="n">
        <f aca="false">C27</f>
        <v>1000</v>
      </c>
      <c r="D106" s="93" t="n">
        <f aca="false">D27</f>
        <v>2000</v>
      </c>
      <c r="E106" s="93" t="n">
        <f aca="false">E27</f>
        <v>100</v>
      </c>
      <c r="F106" s="93" t="n">
        <f aca="false">F27</f>
        <v>100</v>
      </c>
      <c r="G106" s="93" t="n">
        <f aca="false">G27</f>
        <v>100</v>
      </c>
      <c r="H106" s="93" t="n">
        <f aca="false">H27</f>
        <v>3500</v>
      </c>
      <c r="I106" s="93" t="n">
        <f aca="false">I27</f>
        <v>100</v>
      </c>
      <c r="J106" s="93" t="n">
        <f aca="false">J27</f>
        <v>1000</v>
      </c>
      <c r="K106" s="93" t="n">
        <f aca="false">K27</f>
        <v>1500</v>
      </c>
      <c r="L106" s="93" t="n">
        <f aca="false">L27</f>
        <v>100</v>
      </c>
      <c r="M106" s="93" t="n">
        <f aca="false">M27</f>
        <v>1000</v>
      </c>
      <c r="N106" s="93" t="n">
        <f aca="false">N27</f>
        <v>100</v>
      </c>
      <c r="O106" s="93" t="n">
        <f aca="false">SUM(C106:N106)</f>
        <v>10600</v>
      </c>
      <c r="P106" s="93" t="n">
        <f aca="false">SUM(I106:N106)</f>
        <v>3800</v>
      </c>
    </row>
    <row r="107" customFormat="false" ht="15" hidden="false" customHeight="false" outlineLevel="1" collapsed="false">
      <c r="B107" s="5" t="s">
        <v>340</v>
      </c>
      <c r="C107" s="93" t="n">
        <f aca="false">C28</f>
        <v>5160</v>
      </c>
      <c r="D107" s="93" t="n">
        <f aca="false">D28</f>
        <v>5160</v>
      </c>
      <c r="E107" s="93" t="n">
        <f aca="false">E28</f>
        <v>5160</v>
      </c>
      <c r="F107" s="93" t="n">
        <f aca="false">F28</f>
        <v>5160</v>
      </c>
      <c r="G107" s="93" t="n">
        <f aca="false">G28</f>
        <v>5160</v>
      </c>
      <c r="H107" s="93" t="n">
        <f aca="false">H28</f>
        <v>5160</v>
      </c>
      <c r="I107" s="93" t="n">
        <f aca="false">I28</f>
        <v>5160</v>
      </c>
      <c r="J107" s="93" t="n">
        <f aca="false">J28</f>
        <v>5160</v>
      </c>
      <c r="K107" s="93" t="n">
        <f aca="false">K28</f>
        <v>5160</v>
      </c>
      <c r="L107" s="93" t="n">
        <f aca="false">L28</f>
        <v>5160</v>
      </c>
      <c r="M107" s="93" t="n">
        <f aca="false">M28</f>
        <v>5160</v>
      </c>
      <c r="N107" s="93" t="n">
        <f aca="false">N28</f>
        <v>5160</v>
      </c>
      <c r="O107" s="93" t="n">
        <f aca="false">SUM(C107:N107)</f>
        <v>61920</v>
      </c>
      <c r="P107" s="93" t="n">
        <f aca="false">SUM(I107:N107)</f>
        <v>30960</v>
      </c>
    </row>
    <row r="108" customFormat="false" ht="15" hidden="false" customHeight="false" outlineLevel="1" collapsed="false">
      <c r="B108" s="5" t="s">
        <v>341</v>
      </c>
      <c r="C108" s="93" t="n">
        <f aca="false">C29</f>
        <v>16269</v>
      </c>
      <c r="D108" s="93" t="n">
        <f aca="false">D29</f>
        <v>16668</v>
      </c>
      <c r="E108" s="93" t="n">
        <f aca="false">E29</f>
        <v>17397</v>
      </c>
      <c r="F108" s="93" t="n">
        <f aca="false">F29</f>
        <v>17224</v>
      </c>
      <c r="G108" s="93" t="n">
        <f aca="false">G29</f>
        <v>15892</v>
      </c>
      <c r="H108" s="93" t="n">
        <f aca="false">H29</f>
        <v>17256</v>
      </c>
      <c r="I108" s="93" t="n">
        <f aca="false">I29</f>
        <v>17757</v>
      </c>
      <c r="J108" s="93" t="n">
        <f aca="false">J29</f>
        <v>16396</v>
      </c>
      <c r="K108" s="93" t="n">
        <f aca="false">K29</f>
        <v>17418</v>
      </c>
      <c r="L108" s="93" t="n">
        <f aca="false">L29</f>
        <v>17091</v>
      </c>
      <c r="M108" s="93" t="n">
        <f aca="false">M29</f>
        <v>17203</v>
      </c>
      <c r="N108" s="93" t="n">
        <f aca="false">N29</f>
        <v>17479</v>
      </c>
      <c r="O108" s="93" t="n">
        <f aca="false">SUM(C108:N108)</f>
        <v>204050</v>
      </c>
      <c r="P108" s="93" t="n">
        <f aca="false">SUM(I108:N108)</f>
        <v>103344</v>
      </c>
    </row>
    <row r="109" customFormat="false" ht="15" hidden="false" customHeight="false" outlineLevel="1" collapsed="false">
      <c r="B109" s="5" t="s">
        <v>342</v>
      </c>
      <c r="C109" s="93" t="n">
        <f aca="false">C30</f>
        <v>6835</v>
      </c>
      <c r="D109" s="93" t="n">
        <f aca="false">D30</f>
        <v>3835</v>
      </c>
      <c r="E109" s="93" t="n">
        <f aca="false">E30</f>
        <v>3635</v>
      </c>
      <c r="F109" s="93" t="n">
        <f aca="false">F30</f>
        <v>3635</v>
      </c>
      <c r="G109" s="93" t="n">
        <f aca="false">G30</f>
        <v>6760</v>
      </c>
      <c r="H109" s="93" t="n">
        <f aca="false">H30</f>
        <v>3760</v>
      </c>
      <c r="I109" s="93" t="n">
        <f aca="false">I30</f>
        <v>3635</v>
      </c>
      <c r="J109" s="93" t="n">
        <f aca="false">J30</f>
        <v>3510</v>
      </c>
      <c r="K109" s="93" t="n">
        <f aca="false">K30</f>
        <v>3510</v>
      </c>
      <c r="L109" s="93" t="n">
        <f aca="false">L30</f>
        <v>3385</v>
      </c>
      <c r="M109" s="93" t="n">
        <f aca="false">M30</f>
        <v>6385</v>
      </c>
      <c r="N109" s="93" t="n">
        <f aca="false">N30</f>
        <v>3635</v>
      </c>
      <c r="O109" s="93" t="n">
        <f aca="false">SUM(C109:N109)</f>
        <v>52520</v>
      </c>
      <c r="P109" s="93" t="n">
        <f aca="false">SUM(I109:N109)</f>
        <v>24060</v>
      </c>
    </row>
    <row r="110" customFormat="false" ht="15" hidden="false" customHeight="false" outlineLevel="1" collapsed="false">
      <c r="B110" s="5" t="s">
        <v>343</v>
      </c>
      <c r="C110" s="93" t="n">
        <f aca="false">C31</f>
        <v>0</v>
      </c>
      <c r="D110" s="93" t="n">
        <f aca="false">D31</f>
        <v>0</v>
      </c>
      <c r="E110" s="93" t="n">
        <f aca="false">E31</f>
        <v>0</v>
      </c>
      <c r="F110" s="93" t="n">
        <f aca="false">F31</f>
        <v>0</v>
      </c>
      <c r="G110" s="93" t="n">
        <f aca="false">G31</f>
        <v>0</v>
      </c>
      <c r="H110" s="93" t="n">
        <f aca="false">H31</f>
        <v>0</v>
      </c>
      <c r="I110" s="93" t="n">
        <f aca="false">I31</f>
        <v>0</v>
      </c>
      <c r="J110" s="93" t="n">
        <f aca="false">J31</f>
        <v>0</v>
      </c>
      <c r="K110" s="93" t="n">
        <f aca="false">K31</f>
        <v>0</v>
      </c>
      <c r="L110" s="93" t="n">
        <f aca="false">L31</f>
        <v>0</v>
      </c>
      <c r="M110" s="93" t="n">
        <f aca="false">M31</f>
        <v>0</v>
      </c>
      <c r="N110" s="93" t="n">
        <f aca="false">N31</f>
        <v>0</v>
      </c>
      <c r="O110" s="93" t="n">
        <f aca="false">SUM(C110:N110)</f>
        <v>0</v>
      </c>
      <c r="P110" s="93" t="n">
        <f aca="false">SUM(I110:N110)</f>
        <v>0</v>
      </c>
    </row>
    <row r="111" customFormat="false" ht="15" hidden="false" customHeight="false" outlineLevel="1" collapsed="false">
      <c r="B111" s="5" t="s">
        <v>344</v>
      </c>
      <c r="C111" s="93" t="n">
        <f aca="false">C32</f>
        <v>10</v>
      </c>
      <c r="D111" s="93" t="n">
        <f aca="false">D32</f>
        <v>10</v>
      </c>
      <c r="E111" s="93" t="n">
        <f aca="false">E32</f>
        <v>10</v>
      </c>
      <c r="F111" s="93" t="n">
        <f aca="false">F32</f>
        <v>10</v>
      </c>
      <c r="G111" s="93" t="n">
        <f aca="false">G32</f>
        <v>10</v>
      </c>
      <c r="H111" s="93" t="n">
        <f aca="false">H32</f>
        <v>10</v>
      </c>
      <c r="I111" s="93" t="n">
        <f aca="false">I32</f>
        <v>10</v>
      </c>
      <c r="J111" s="93" t="n">
        <f aca="false">J32</f>
        <v>10</v>
      </c>
      <c r="K111" s="93" t="n">
        <f aca="false">K32</f>
        <v>10</v>
      </c>
      <c r="L111" s="93" t="n">
        <f aca="false">L32</f>
        <v>10</v>
      </c>
      <c r="M111" s="93" t="n">
        <f aca="false">M32</f>
        <v>10</v>
      </c>
      <c r="N111" s="93" t="n">
        <f aca="false">N32</f>
        <v>10</v>
      </c>
      <c r="O111" s="93" t="n">
        <f aca="false">SUM(C111:N111)</f>
        <v>120</v>
      </c>
      <c r="P111" s="93" t="n">
        <f aca="false">SUM(I111:N111)</f>
        <v>60</v>
      </c>
    </row>
    <row r="112" customFormat="false" ht="15" hidden="false" customHeight="false" outlineLevel="0" collapsed="false">
      <c r="B112" s="12" t="s">
        <v>345</v>
      </c>
      <c r="C112" s="118" t="n">
        <f aca="false">SUM(C113:C114)</f>
        <v>0</v>
      </c>
      <c r="D112" s="118" t="n">
        <f aca="false">SUM(D113:D114)</f>
        <v>0</v>
      </c>
      <c r="E112" s="118" t="n">
        <f aca="false">SUM(E113:E114)</f>
        <v>0</v>
      </c>
      <c r="F112" s="118" t="n">
        <f aca="false">SUM(F113:F114)</f>
        <v>0</v>
      </c>
      <c r="G112" s="118" t="n">
        <f aca="false">SUM(G113:G114)</f>
        <v>0</v>
      </c>
      <c r="H112" s="118" t="n">
        <f aca="false">SUM(H113:H114)</f>
        <v>0</v>
      </c>
      <c r="I112" s="118" t="n">
        <f aca="false">SUM(I113:I114)</f>
        <v>0</v>
      </c>
      <c r="J112" s="118" t="n">
        <f aca="false">SUM(J113:J114)</f>
        <v>0</v>
      </c>
      <c r="K112" s="118" t="n">
        <f aca="false">SUM(K113:K114)</f>
        <v>0</v>
      </c>
      <c r="L112" s="118" t="n">
        <f aca="false">SUM(L113:L114)</f>
        <v>0</v>
      </c>
      <c r="M112" s="118" t="n">
        <f aca="false">SUM(M113:M114)</f>
        <v>0</v>
      </c>
      <c r="N112" s="118" t="n">
        <f aca="false">SUM(N113:N114)</f>
        <v>0</v>
      </c>
      <c r="O112" s="93" t="n">
        <f aca="false">SUM(C112:N112)</f>
        <v>0</v>
      </c>
      <c r="P112" s="93" t="n">
        <f aca="false">SUM(I112:N112)</f>
        <v>0</v>
      </c>
    </row>
    <row r="113" customFormat="false" ht="15" hidden="false" customHeight="false" outlineLevel="1" collapsed="false">
      <c r="B113" s="5" t="s">
        <v>346</v>
      </c>
      <c r="C113" s="93" t="n">
        <f aca="false">C34</f>
        <v>0</v>
      </c>
      <c r="D113" s="93" t="n">
        <f aca="false">D34</f>
        <v>0</v>
      </c>
      <c r="E113" s="93" t="n">
        <f aca="false">E34</f>
        <v>0</v>
      </c>
      <c r="F113" s="93" t="n">
        <f aca="false">F34</f>
        <v>0</v>
      </c>
      <c r="G113" s="93" t="n">
        <f aca="false">G34</f>
        <v>0</v>
      </c>
      <c r="H113" s="93" t="n">
        <f aca="false">H34</f>
        <v>0</v>
      </c>
      <c r="I113" s="93" t="n">
        <f aca="false">I34</f>
        <v>0</v>
      </c>
      <c r="J113" s="93" t="n">
        <f aca="false">J34</f>
        <v>0</v>
      </c>
      <c r="K113" s="93" t="n">
        <f aca="false">K34</f>
        <v>0</v>
      </c>
      <c r="L113" s="93" t="n">
        <f aca="false">L34</f>
        <v>0</v>
      </c>
      <c r="M113" s="93" t="n">
        <f aca="false">M34</f>
        <v>0</v>
      </c>
      <c r="N113" s="93" t="n">
        <f aca="false">N34</f>
        <v>0</v>
      </c>
      <c r="O113" s="93" t="n">
        <f aca="false">SUM(C113:N113)</f>
        <v>0</v>
      </c>
      <c r="P113" s="93" t="n">
        <f aca="false">SUM(I113:N113)</f>
        <v>0</v>
      </c>
    </row>
    <row r="114" customFormat="false" ht="15" hidden="false" customHeight="false" outlineLevel="1" collapsed="false">
      <c r="B114" s="5" t="s">
        <v>347</v>
      </c>
      <c r="C114" s="93" t="n">
        <f aca="false">C35</f>
        <v>0</v>
      </c>
      <c r="D114" s="93" t="n">
        <f aca="false">D35</f>
        <v>0</v>
      </c>
      <c r="E114" s="93" t="n">
        <f aca="false">E35</f>
        <v>0</v>
      </c>
      <c r="F114" s="93" t="n">
        <f aca="false">F35</f>
        <v>0</v>
      </c>
      <c r="G114" s="93" t="n">
        <f aca="false">G35</f>
        <v>0</v>
      </c>
      <c r="H114" s="93" t="n">
        <f aca="false">H35</f>
        <v>0</v>
      </c>
      <c r="I114" s="93" t="n">
        <f aca="false">I35</f>
        <v>0</v>
      </c>
      <c r="J114" s="93" t="n">
        <f aca="false">J35</f>
        <v>0</v>
      </c>
      <c r="K114" s="93" t="n">
        <f aca="false">K35</f>
        <v>0</v>
      </c>
      <c r="L114" s="93" t="n">
        <f aca="false">L35</f>
        <v>0</v>
      </c>
      <c r="M114" s="93" t="n">
        <f aca="false">M35</f>
        <v>0</v>
      </c>
      <c r="N114" s="93" t="n">
        <f aca="false">N35</f>
        <v>0</v>
      </c>
      <c r="O114" s="93" t="n">
        <f aca="false">SUM(C114:N114)</f>
        <v>0</v>
      </c>
      <c r="P114" s="93" t="n">
        <f aca="false">SUM(I114:N114)</f>
        <v>0</v>
      </c>
    </row>
    <row r="115" customFormat="false" ht="15" hidden="false" customHeight="false" outlineLevel="0" collapsed="false">
      <c r="B115" s="12" t="s">
        <v>348</v>
      </c>
      <c r="C115" s="118" t="n">
        <f aca="false">SUM(C116:C118)</f>
        <v>2069.6</v>
      </c>
      <c r="D115" s="118" t="n">
        <f aca="false">SUM(D116:D118)</f>
        <v>2069.6</v>
      </c>
      <c r="E115" s="118" t="n">
        <f aca="false">SUM(E116:E118)</f>
        <v>2069.6</v>
      </c>
      <c r="F115" s="118" t="n">
        <f aca="false">SUM(F116:F118)</f>
        <v>2069.6</v>
      </c>
      <c r="G115" s="118" t="n">
        <f aca="false">SUM(G116:G118)</f>
        <v>2069.6</v>
      </c>
      <c r="H115" s="118" t="n">
        <f aca="false">SUM(H116:H118)</f>
        <v>2069.6</v>
      </c>
      <c r="I115" s="118" t="n">
        <f aca="false">SUM(I116:I118)</f>
        <v>2069.6</v>
      </c>
      <c r="J115" s="118" t="n">
        <f aca="false">SUM(J116:J118)</f>
        <v>2069.6</v>
      </c>
      <c r="K115" s="118" t="n">
        <f aca="false">SUM(K116:K118)</f>
        <v>2069.6</v>
      </c>
      <c r="L115" s="118" t="n">
        <f aca="false">SUM(L116:L118)</f>
        <v>2069.6</v>
      </c>
      <c r="M115" s="118" t="n">
        <f aca="false">SUM(M116:M118)</f>
        <v>2069.6</v>
      </c>
      <c r="N115" s="118" t="n">
        <f aca="false">SUM(N116:N118)</f>
        <v>2069.6</v>
      </c>
      <c r="O115" s="93" t="n">
        <f aca="false">SUM(C115:N115)</f>
        <v>24835.2</v>
      </c>
      <c r="P115" s="93" t="n">
        <f aca="false">SUM(I115:N115)</f>
        <v>12417.6</v>
      </c>
    </row>
    <row r="116" customFormat="false" ht="15" hidden="false" customHeight="false" outlineLevel="1" collapsed="false">
      <c r="B116" s="5" t="s">
        <v>349</v>
      </c>
      <c r="C116" s="93" t="n">
        <f aca="false">C37</f>
        <v>0</v>
      </c>
      <c r="D116" s="93" t="n">
        <f aca="false">D37</f>
        <v>0</v>
      </c>
      <c r="E116" s="93" t="n">
        <f aca="false">E37</f>
        <v>0</v>
      </c>
      <c r="F116" s="93" t="n">
        <f aca="false">F37</f>
        <v>0</v>
      </c>
      <c r="G116" s="93" t="n">
        <f aca="false">G37</f>
        <v>0</v>
      </c>
      <c r="H116" s="93" t="n">
        <f aca="false">H37</f>
        <v>0</v>
      </c>
      <c r="I116" s="93" t="n">
        <f aca="false">I37</f>
        <v>0</v>
      </c>
      <c r="J116" s="93" t="n">
        <f aca="false">J37</f>
        <v>0</v>
      </c>
      <c r="K116" s="93" t="n">
        <f aca="false">K37</f>
        <v>0</v>
      </c>
      <c r="L116" s="93" t="n">
        <f aca="false">L37</f>
        <v>0</v>
      </c>
      <c r="M116" s="93" t="n">
        <f aca="false">M37</f>
        <v>0</v>
      </c>
      <c r="N116" s="93" t="n">
        <f aca="false">N37</f>
        <v>0</v>
      </c>
      <c r="O116" s="93" t="n">
        <f aca="false">SUM(C116:N116)</f>
        <v>0</v>
      </c>
      <c r="P116" s="93" t="n">
        <f aca="false">SUM(I116:N116)</f>
        <v>0</v>
      </c>
    </row>
    <row r="117" customFormat="false" ht="15" hidden="false" customHeight="false" outlineLevel="1" collapsed="false">
      <c r="B117" s="5" t="s">
        <v>350</v>
      </c>
      <c r="C117" s="93" t="n">
        <f aca="false">C38</f>
        <v>632</v>
      </c>
      <c r="D117" s="93" t="n">
        <f aca="false">D38</f>
        <v>632</v>
      </c>
      <c r="E117" s="93" t="n">
        <f aca="false">E38</f>
        <v>632</v>
      </c>
      <c r="F117" s="93" t="n">
        <f aca="false">F38</f>
        <v>632</v>
      </c>
      <c r="G117" s="93" t="n">
        <f aca="false">G38</f>
        <v>632</v>
      </c>
      <c r="H117" s="93" t="n">
        <f aca="false">H38</f>
        <v>632</v>
      </c>
      <c r="I117" s="93" t="n">
        <f aca="false">I38</f>
        <v>632</v>
      </c>
      <c r="J117" s="93" t="n">
        <f aca="false">J38</f>
        <v>632</v>
      </c>
      <c r="K117" s="93" t="n">
        <f aca="false">K38</f>
        <v>632</v>
      </c>
      <c r="L117" s="93" t="n">
        <f aca="false">L38</f>
        <v>632</v>
      </c>
      <c r="M117" s="93" t="n">
        <f aca="false">M38</f>
        <v>632</v>
      </c>
      <c r="N117" s="93" t="n">
        <f aca="false">N38</f>
        <v>632</v>
      </c>
      <c r="O117" s="93" t="n">
        <f aca="false">SUM(C117:N117)</f>
        <v>7584</v>
      </c>
      <c r="P117" s="93" t="n">
        <f aca="false">SUM(I117:N117)</f>
        <v>3792</v>
      </c>
    </row>
    <row r="118" customFormat="false" ht="15" hidden="false" customHeight="false" outlineLevel="1" collapsed="false">
      <c r="B118" s="5" t="s">
        <v>351</v>
      </c>
      <c r="C118" s="93" t="n">
        <f aca="false">C39</f>
        <v>1437.6</v>
      </c>
      <c r="D118" s="93" t="n">
        <f aca="false">D39</f>
        <v>1437.6</v>
      </c>
      <c r="E118" s="93" t="n">
        <f aca="false">E39</f>
        <v>1437.6</v>
      </c>
      <c r="F118" s="93" t="n">
        <f aca="false">F39</f>
        <v>1437.6</v>
      </c>
      <c r="G118" s="93" t="n">
        <f aca="false">G39</f>
        <v>1437.6</v>
      </c>
      <c r="H118" s="93" t="n">
        <f aca="false">H39</f>
        <v>1437.6</v>
      </c>
      <c r="I118" s="93" t="n">
        <f aca="false">I39</f>
        <v>1437.6</v>
      </c>
      <c r="J118" s="93" t="n">
        <f aca="false">J39</f>
        <v>1437.6</v>
      </c>
      <c r="K118" s="93" t="n">
        <f aca="false">K39</f>
        <v>1437.6</v>
      </c>
      <c r="L118" s="93" t="n">
        <f aca="false">L39</f>
        <v>1437.6</v>
      </c>
      <c r="M118" s="93" t="n">
        <f aca="false">M39</f>
        <v>1437.6</v>
      </c>
      <c r="N118" s="93" t="n">
        <f aca="false">N39</f>
        <v>1437.6</v>
      </c>
      <c r="O118" s="93" t="n">
        <f aca="false">SUM(C118:N118)</f>
        <v>17251.2</v>
      </c>
      <c r="P118" s="93" t="n">
        <f aca="false">SUM(I118:N118)</f>
        <v>8625.6</v>
      </c>
    </row>
    <row r="119" customFormat="false" ht="15" hidden="false" customHeight="false" outlineLevel="0" collapsed="false">
      <c r="B119" s="12" t="s">
        <v>352</v>
      </c>
      <c r="C119" s="118" t="n">
        <f aca="false">SUM(C120:C140)</f>
        <v>79634.1467</v>
      </c>
      <c r="D119" s="118" t="n">
        <f aca="false">SUM(D120:D140)</f>
        <v>85862.7764</v>
      </c>
      <c r="E119" s="118" t="n">
        <f aca="false">SUM(E120:E140)</f>
        <v>71626.215</v>
      </c>
      <c r="F119" s="118" t="n">
        <f aca="false">SUM(F120:F140)</f>
        <v>75996.9078</v>
      </c>
      <c r="G119" s="118" t="n">
        <f aca="false">SUM(G120:G140)</f>
        <v>73366.4724</v>
      </c>
      <c r="H119" s="118" t="n">
        <f aca="false">SUM(H120:H140)</f>
        <v>85549.8789</v>
      </c>
      <c r="I119" s="118" t="n">
        <f aca="false">SUM(I120:I140)</f>
        <v>74334.1591</v>
      </c>
      <c r="J119" s="118" t="n">
        <f aca="false">SUM(J120:J140)</f>
        <v>72658.6403666667</v>
      </c>
      <c r="K119" s="118" t="n">
        <f aca="false">SUM(K120:K140)</f>
        <v>85349.5623666667</v>
      </c>
      <c r="L119" s="118" t="n">
        <f aca="false">SUM(L120:L140)</f>
        <v>79676.5483666667</v>
      </c>
      <c r="M119" s="118" t="n">
        <f aca="false">SUM(M120:M140)</f>
        <v>78822.6623666667</v>
      </c>
      <c r="N119" s="118" t="n">
        <f aca="false">SUM(N120:N140)</f>
        <v>78344.5483666667</v>
      </c>
      <c r="O119" s="93" t="n">
        <f aca="false">SUM(C119:N119)</f>
        <v>941222.518133333</v>
      </c>
      <c r="P119" s="93" t="n">
        <f aca="false">SUM(I119:N119)</f>
        <v>469186.120933333</v>
      </c>
      <c r="Q119" s="14" t="s">
        <v>447</v>
      </c>
    </row>
    <row r="120" customFormat="false" ht="15" hidden="false" customHeight="false" outlineLevel="1" collapsed="false">
      <c r="B120" s="119" t="s">
        <v>353</v>
      </c>
      <c r="C120" s="120" t="n">
        <f aca="false">C41+C75</f>
        <v>7500</v>
      </c>
      <c r="D120" s="120" t="n">
        <f aca="false">D41+D75</f>
        <v>8000</v>
      </c>
      <c r="E120" s="120" t="n">
        <f aca="false">E41+E75</f>
        <v>1500</v>
      </c>
      <c r="F120" s="120" t="n">
        <f aca="false">F41+F75</f>
        <v>3650</v>
      </c>
      <c r="G120" s="120" t="n">
        <f aca="false">G41+G75</f>
        <v>1000</v>
      </c>
      <c r="H120" s="120" t="n">
        <f aca="false">H41+H75</f>
        <v>7500</v>
      </c>
      <c r="I120" s="120" t="n">
        <f aca="false">I41+I75</f>
        <v>1500</v>
      </c>
      <c r="J120" s="120" t="n">
        <f aca="false">J41+J75</f>
        <v>1997.312</v>
      </c>
      <c r="K120" s="120" t="n">
        <f aca="false">K41+K75</f>
        <v>8997.024</v>
      </c>
      <c r="L120" s="120" t="n">
        <f aca="false">L41+L75</f>
        <v>5747.12</v>
      </c>
      <c r="M120" s="120" t="n">
        <f aca="false">M41+M75</f>
        <v>4247.024</v>
      </c>
      <c r="N120" s="120" t="n">
        <f aca="false">N41+N75</f>
        <v>4247.12</v>
      </c>
      <c r="O120" s="120" t="n">
        <f aca="false">SUM(C120:N120)</f>
        <v>55885.6</v>
      </c>
      <c r="P120" s="120" t="n">
        <f aca="false">SUM(I120:N120)</f>
        <v>26735.6</v>
      </c>
      <c r="Q120" s="67" t="s">
        <v>448</v>
      </c>
    </row>
    <row r="121" customFormat="false" ht="15" hidden="false" customHeight="false" outlineLevel="1" collapsed="false">
      <c r="B121" s="5" t="s">
        <v>354</v>
      </c>
      <c r="C121" s="93" t="n">
        <f aca="false">C42</f>
        <v>0</v>
      </c>
      <c r="D121" s="93" t="n">
        <f aca="false">D42</f>
        <v>0</v>
      </c>
      <c r="E121" s="93" t="n">
        <f aca="false">E42</f>
        <v>0</v>
      </c>
      <c r="F121" s="93" t="n">
        <f aca="false">F42</f>
        <v>0</v>
      </c>
      <c r="G121" s="93" t="n">
        <f aca="false">G42</f>
        <v>0</v>
      </c>
      <c r="H121" s="93" t="n">
        <f aca="false">H42</f>
        <v>0</v>
      </c>
      <c r="I121" s="93" t="n">
        <f aca="false">I42</f>
        <v>0</v>
      </c>
      <c r="J121" s="93" t="n">
        <f aca="false">J42</f>
        <v>0</v>
      </c>
      <c r="K121" s="93" t="n">
        <f aca="false">K42</f>
        <v>0</v>
      </c>
      <c r="L121" s="93" t="n">
        <f aca="false">L42</f>
        <v>0</v>
      </c>
      <c r="M121" s="93" t="n">
        <f aca="false">M42</f>
        <v>0</v>
      </c>
      <c r="N121" s="93" t="n">
        <f aca="false">N42</f>
        <v>0</v>
      </c>
      <c r="O121" s="93" t="n">
        <f aca="false">SUM(C121:N121)</f>
        <v>0</v>
      </c>
      <c r="P121" s="93" t="n">
        <f aca="false">SUM(I121:N121)</f>
        <v>0</v>
      </c>
    </row>
    <row r="122" customFormat="false" ht="15" hidden="false" customHeight="false" outlineLevel="1" collapsed="false">
      <c r="B122" s="119" t="s">
        <v>355</v>
      </c>
      <c r="C122" s="120" t="n">
        <f aca="false">C43+C77+C80</f>
        <v>2000</v>
      </c>
      <c r="D122" s="120" t="n">
        <f aca="false">D43+D77+D80</f>
        <v>4800</v>
      </c>
      <c r="E122" s="120" t="n">
        <f aca="false">E43+E77+E80</f>
        <v>600</v>
      </c>
      <c r="F122" s="120" t="n">
        <f aca="false">F43+F77+F80</f>
        <v>1230</v>
      </c>
      <c r="G122" s="120" t="n">
        <f aca="false">G43+G77+G80</f>
        <v>600</v>
      </c>
      <c r="H122" s="120" t="n">
        <f aca="false">H43+H77+H80</f>
        <v>1230</v>
      </c>
      <c r="I122" s="120" t="n">
        <f aca="false">I43+I77+I80</f>
        <v>370</v>
      </c>
      <c r="J122" s="120" t="n">
        <f aca="false">J43+J77+J80</f>
        <v>507.5</v>
      </c>
      <c r="K122" s="120" t="n">
        <f aca="false">K43+K77+K80</f>
        <v>967.5</v>
      </c>
      <c r="L122" s="120" t="n">
        <f aca="false">L43+L77+L80</f>
        <v>767.5</v>
      </c>
      <c r="M122" s="120" t="n">
        <f aca="false">M43+M77+M80</f>
        <v>767.5</v>
      </c>
      <c r="N122" s="120" t="n">
        <f aca="false">N43+N77+N80</f>
        <v>767.5</v>
      </c>
      <c r="O122" s="120" t="n">
        <f aca="false">SUM(C122:N122)</f>
        <v>14607.5</v>
      </c>
      <c r="P122" s="120" t="n">
        <f aca="false">SUM(I122:N122)</f>
        <v>4147.5</v>
      </c>
      <c r="Q122" s="67" t="s">
        <v>448</v>
      </c>
    </row>
    <row r="123" customFormat="false" ht="15" hidden="false" customHeight="false" outlineLevel="1" collapsed="false">
      <c r="B123" s="5" t="s">
        <v>356</v>
      </c>
      <c r="C123" s="93" t="n">
        <f aca="false">C44</f>
        <v>0</v>
      </c>
      <c r="D123" s="93" t="n">
        <f aca="false">D44</f>
        <v>0</v>
      </c>
      <c r="E123" s="93" t="n">
        <f aca="false">E44</f>
        <v>0</v>
      </c>
      <c r="F123" s="93" t="n">
        <f aca="false">F44</f>
        <v>0</v>
      </c>
      <c r="G123" s="93" t="n">
        <f aca="false">G44</f>
        <v>0</v>
      </c>
      <c r="H123" s="93" t="n">
        <f aca="false">H44</f>
        <v>0</v>
      </c>
      <c r="I123" s="93" t="n">
        <f aca="false">I44</f>
        <v>0</v>
      </c>
      <c r="J123" s="93" t="n">
        <f aca="false">J44</f>
        <v>0</v>
      </c>
      <c r="K123" s="93" t="n">
        <f aca="false">K44</f>
        <v>0</v>
      </c>
      <c r="L123" s="93" t="n">
        <f aca="false">L44</f>
        <v>0</v>
      </c>
      <c r="M123" s="93" t="n">
        <f aca="false">M44</f>
        <v>0</v>
      </c>
      <c r="N123" s="93" t="n">
        <f aca="false">N44</f>
        <v>0</v>
      </c>
      <c r="O123" s="93" t="n">
        <f aca="false">SUM(C123:N123)</f>
        <v>0</v>
      </c>
      <c r="P123" s="93" t="n">
        <f aca="false">SUM(I123:N123)</f>
        <v>0</v>
      </c>
    </row>
    <row r="124" customFormat="false" ht="15" hidden="false" customHeight="false" outlineLevel="1" collapsed="false">
      <c r="B124" s="5" t="s">
        <v>357</v>
      </c>
      <c r="C124" s="93" t="n">
        <f aca="false">C45</f>
        <v>0</v>
      </c>
      <c r="D124" s="93" t="n">
        <f aca="false">D45</f>
        <v>0</v>
      </c>
      <c r="E124" s="93" t="n">
        <f aca="false">E45</f>
        <v>0</v>
      </c>
      <c r="F124" s="93" t="n">
        <f aca="false">F45</f>
        <v>0</v>
      </c>
      <c r="G124" s="93" t="n">
        <f aca="false">G45</f>
        <v>0</v>
      </c>
      <c r="H124" s="93" t="n">
        <f aca="false">H45</f>
        <v>0</v>
      </c>
      <c r="I124" s="93" t="n">
        <f aca="false">I45</f>
        <v>0</v>
      </c>
      <c r="J124" s="93" t="n">
        <f aca="false">J45</f>
        <v>0</v>
      </c>
      <c r="K124" s="93" t="n">
        <f aca="false">K45</f>
        <v>0</v>
      </c>
      <c r="L124" s="93" t="n">
        <f aca="false">L45</f>
        <v>0</v>
      </c>
      <c r="M124" s="93" t="n">
        <f aca="false">M45</f>
        <v>0</v>
      </c>
      <c r="N124" s="93" t="n">
        <f aca="false">N45</f>
        <v>0</v>
      </c>
      <c r="O124" s="93" t="n">
        <f aca="false">SUM(C124:N124)</f>
        <v>0</v>
      </c>
      <c r="P124" s="93" t="n">
        <f aca="false">SUM(I124:N124)</f>
        <v>0</v>
      </c>
    </row>
    <row r="125" customFormat="false" ht="15" hidden="false" customHeight="false" outlineLevel="1" collapsed="false">
      <c r="B125" s="5" t="s">
        <v>358</v>
      </c>
      <c r="C125" s="93" t="n">
        <f aca="false">C46</f>
        <v>90</v>
      </c>
      <c r="D125" s="93" t="n">
        <f aca="false">D46</f>
        <v>90</v>
      </c>
      <c r="E125" s="93" t="n">
        <f aca="false">E46</f>
        <v>90</v>
      </c>
      <c r="F125" s="93" t="n">
        <f aca="false">F46</f>
        <v>90</v>
      </c>
      <c r="G125" s="93" t="n">
        <f aca="false">G46</f>
        <v>90</v>
      </c>
      <c r="H125" s="93" t="n">
        <f aca="false">H46</f>
        <v>90</v>
      </c>
      <c r="I125" s="93" t="n">
        <f aca="false">I46</f>
        <v>90</v>
      </c>
      <c r="J125" s="93" t="n">
        <f aca="false">J46</f>
        <v>90</v>
      </c>
      <c r="K125" s="93" t="n">
        <f aca="false">K46</f>
        <v>120</v>
      </c>
      <c r="L125" s="93" t="n">
        <f aca="false">L46</f>
        <v>90</v>
      </c>
      <c r="M125" s="93" t="n">
        <f aca="false">M46</f>
        <v>90</v>
      </c>
      <c r="N125" s="93" t="n">
        <f aca="false">N46</f>
        <v>250</v>
      </c>
      <c r="O125" s="93" t="n">
        <f aca="false">SUM(C125:N125)</f>
        <v>1270</v>
      </c>
      <c r="P125" s="93" t="n">
        <f aca="false">SUM(I125:N125)</f>
        <v>730</v>
      </c>
    </row>
    <row r="126" customFormat="false" ht="15" hidden="false" customHeight="false" outlineLevel="1" collapsed="false">
      <c r="B126" s="5" t="s">
        <v>359</v>
      </c>
      <c r="C126" s="93" t="n">
        <f aca="false">C47</f>
        <v>126</v>
      </c>
      <c r="D126" s="93" t="n">
        <f aca="false">D47</f>
        <v>126</v>
      </c>
      <c r="E126" s="93" t="n">
        <f aca="false">E47</f>
        <v>126</v>
      </c>
      <c r="F126" s="93" t="n">
        <f aca="false">F47</f>
        <v>126</v>
      </c>
      <c r="G126" s="93" t="n">
        <f aca="false">G47</f>
        <v>126</v>
      </c>
      <c r="H126" s="93" t="n">
        <f aca="false">H47</f>
        <v>126</v>
      </c>
      <c r="I126" s="93" t="n">
        <f aca="false">I47</f>
        <v>126</v>
      </c>
      <c r="J126" s="93" t="n">
        <f aca="false">J47</f>
        <v>126</v>
      </c>
      <c r="K126" s="93" t="n">
        <f aca="false">K47</f>
        <v>126</v>
      </c>
      <c r="L126" s="93" t="n">
        <f aca="false">L47</f>
        <v>126</v>
      </c>
      <c r="M126" s="93" t="n">
        <f aca="false">M47</f>
        <v>126</v>
      </c>
      <c r="N126" s="93" t="n">
        <f aca="false">N47</f>
        <v>126</v>
      </c>
      <c r="O126" s="93" t="n">
        <f aca="false">SUM(C126:N126)</f>
        <v>1512</v>
      </c>
      <c r="P126" s="93" t="n">
        <f aca="false">SUM(I126:N126)</f>
        <v>756</v>
      </c>
    </row>
    <row r="127" customFormat="false" ht="15" hidden="false" customHeight="false" outlineLevel="1" collapsed="false">
      <c r="B127" s="119" t="s">
        <v>360</v>
      </c>
      <c r="C127" s="120" t="n">
        <f aca="false">C48+C76</f>
        <v>10933</v>
      </c>
      <c r="D127" s="120" t="n">
        <f aca="false">D48+D76</f>
        <v>11433</v>
      </c>
      <c r="E127" s="120" t="n">
        <f aca="false">E48+E76</f>
        <v>10933</v>
      </c>
      <c r="F127" s="120" t="n">
        <f aca="false">F48+F76</f>
        <v>10933</v>
      </c>
      <c r="G127" s="120" t="n">
        <f aca="false">G48+G76</f>
        <v>11433</v>
      </c>
      <c r="H127" s="120" t="n">
        <f aca="false">H48+H76</f>
        <v>11633</v>
      </c>
      <c r="I127" s="120" t="n">
        <f aca="false">I48+I76</f>
        <v>11433</v>
      </c>
      <c r="J127" s="120" t="n">
        <f aca="false">J48+J76</f>
        <v>10938.88</v>
      </c>
      <c r="K127" s="120" t="n">
        <f aca="false">K48+K76</f>
        <v>11439.51</v>
      </c>
      <c r="L127" s="120" t="n">
        <f aca="false">L48+L76</f>
        <v>10939.3</v>
      </c>
      <c r="M127" s="120" t="n">
        <f aca="false">M48+M76</f>
        <v>10939.51</v>
      </c>
      <c r="N127" s="120" t="n">
        <f aca="false">N48+N76</f>
        <v>10939.3</v>
      </c>
      <c r="O127" s="120" t="n">
        <f aca="false">SUM(C127:N127)</f>
        <v>133927.5</v>
      </c>
      <c r="P127" s="120" t="n">
        <f aca="false">SUM(I127:N127)</f>
        <v>66629.5</v>
      </c>
      <c r="Q127" s="67" t="s">
        <v>448</v>
      </c>
    </row>
    <row r="128" customFormat="false" ht="15" hidden="false" customHeight="false" outlineLevel="1" collapsed="false">
      <c r="B128" s="5" t="s">
        <v>361</v>
      </c>
      <c r="C128" s="93" t="n">
        <f aca="false">C49</f>
        <v>0</v>
      </c>
      <c r="D128" s="93" t="n">
        <f aca="false">D49</f>
        <v>0</v>
      </c>
      <c r="E128" s="93" t="n">
        <f aca="false">E49</f>
        <v>0</v>
      </c>
      <c r="F128" s="93" t="n">
        <f aca="false">F49</f>
        <v>0</v>
      </c>
      <c r="G128" s="93" t="n">
        <f aca="false">G49</f>
        <v>0</v>
      </c>
      <c r="H128" s="93" t="n">
        <f aca="false">H49</f>
        <v>0</v>
      </c>
      <c r="I128" s="93" t="n">
        <f aca="false">I49</f>
        <v>0</v>
      </c>
      <c r="J128" s="93" t="n">
        <f aca="false">J49</f>
        <v>0</v>
      </c>
      <c r="K128" s="93" t="n">
        <f aca="false">K49</f>
        <v>0</v>
      </c>
      <c r="L128" s="93" t="n">
        <f aca="false">L49</f>
        <v>0</v>
      </c>
      <c r="M128" s="93" t="n">
        <f aca="false">M49</f>
        <v>0</v>
      </c>
      <c r="N128" s="93" t="n">
        <f aca="false">N49</f>
        <v>0</v>
      </c>
      <c r="O128" s="93" t="n">
        <f aca="false">SUM(C128:N128)</f>
        <v>0</v>
      </c>
      <c r="P128" s="93" t="n">
        <f aca="false">SUM(I128:N128)</f>
        <v>0</v>
      </c>
    </row>
    <row r="129" customFormat="false" ht="15" hidden="false" customHeight="false" outlineLevel="1" collapsed="false">
      <c r="B129" s="5" t="s">
        <v>362</v>
      </c>
      <c r="C129" s="93" t="n">
        <f aca="false">C50</f>
        <v>37971.96</v>
      </c>
      <c r="D129" s="93" t="n">
        <f aca="false">D50</f>
        <v>40333.9231</v>
      </c>
      <c r="E129" s="93" t="n">
        <f aca="false">E50</f>
        <v>36034.32</v>
      </c>
      <c r="F129" s="93" t="n">
        <f aca="false">F50</f>
        <v>37235.6795</v>
      </c>
      <c r="G129" s="93" t="n">
        <f aca="false">G50</f>
        <v>36164.2441</v>
      </c>
      <c r="H129" s="93" t="n">
        <f aca="false">H50</f>
        <v>40835.3172</v>
      </c>
      <c r="I129" s="93" t="n">
        <f aca="false">I50</f>
        <v>37124.5974</v>
      </c>
      <c r="J129" s="93" t="n">
        <f aca="false">J50</f>
        <v>35166.72</v>
      </c>
      <c r="K129" s="93" t="n">
        <f aca="false">K50</f>
        <v>39837.3</v>
      </c>
      <c r="L129" s="93" t="n">
        <f aca="false">L50</f>
        <v>38174.4</v>
      </c>
      <c r="M129" s="93" t="n">
        <f aca="false">M50</f>
        <v>38656.4</v>
      </c>
      <c r="N129" s="93" t="n">
        <f aca="false">N50</f>
        <v>37451.4</v>
      </c>
      <c r="O129" s="93" t="n">
        <f aca="false">SUM(C129:N129)</f>
        <v>454986.2613</v>
      </c>
      <c r="P129" s="93" t="n">
        <f aca="false">SUM(I129:N129)</f>
        <v>226410.8174</v>
      </c>
    </row>
    <row r="130" customFormat="false" ht="15" hidden="false" customHeight="false" outlineLevel="1" collapsed="false">
      <c r="B130" s="5" t="s">
        <v>363</v>
      </c>
      <c r="C130" s="108" t="n">
        <f aca="false">IF(C128=0,0,C129/C128)</f>
        <v>0</v>
      </c>
      <c r="D130" s="108" t="n">
        <f aca="false">IF(D128=0,0,D129/D128)</f>
        <v>0</v>
      </c>
      <c r="E130" s="108" t="n">
        <f aca="false">IF(E128=0,0,E129/E128)</f>
        <v>0</v>
      </c>
      <c r="F130" s="108" t="n">
        <f aca="false">IF(F128=0,0,F129/F128)</f>
        <v>0</v>
      </c>
      <c r="G130" s="108" t="n">
        <f aca="false">IF(G128=0,0,G129/G128)</f>
        <v>0</v>
      </c>
      <c r="H130" s="108" t="n">
        <f aca="false">IF(H128=0,0,H129/H128)</f>
        <v>0</v>
      </c>
      <c r="I130" s="108" t="n">
        <f aca="false">IF(I128=0,0,I129/I128)</f>
        <v>0</v>
      </c>
      <c r="J130" s="108" t="n">
        <f aca="false">IF(J128=0,0,J129/J128)</f>
        <v>0</v>
      </c>
      <c r="K130" s="108" t="n">
        <f aca="false">IF(K128=0,0,K129/K128)</f>
        <v>0</v>
      </c>
      <c r="L130" s="108" t="n">
        <f aca="false">IF(L128=0,0,L129/L128)</f>
        <v>0</v>
      </c>
      <c r="M130" s="108" t="n">
        <f aca="false">IF(M128=0,0,M129/M128)</f>
        <v>0</v>
      </c>
      <c r="N130" s="108" t="n">
        <f aca="false">IF(N128=0,0,N129/N128)</f>
        <v>0</v>
      </c>
      <c r="O130" s="108" t="n">
        <f aca="false">IF(O128=0,0,O129/O128)</f>
        <v>0</v>
      </c>
      <c r="P130" s="108" t="n">
        <f aca="false">IF(P128=0,0,P129/P128)</f>
        <v>0</v>
      </c>
    </row>
    <row r="131" customFormat="false" ht="15" hidden="false" customHeight="false" outlineLevel="1" collapsed="false">
      <c r="B131" s="5" t="s">
        <v>364</v>
      </c>
      <c r="C131" s="108" t="n">
        <f aca="false">IF(C129=0,0,C130/C129)</f>
        <v>0</v>
      </c>
      <c r="D131" s="108" t="n">
        <f aca="false">IF(D129=0,0,D130/D129)</f>
        <v>0</v>
      </c>
      <c r="E131" s="108" t="n">
        <f aca="false">IF(E129=0,0,E130/E129)</f>
        <v>0</v>
      </c>
      <c r="F131" s="108" t="n">
        <f aca="false">IF(F129=0,0,F130/F129)</f>
        <v>0</v>
      </c>
      <c r="G131" s="108" t="n">
        <f aca="false">IF(G129=0,0,G130/G129)</f>
        <v>0</v>
      </c>
      <c r="H131" s="108" t="n">
        <f aca="false">IF(H129=0,0,H130/H129)</f>
        <v>0</v>
      </c>
      <c r="I131" s="108" t="n">
        <f aca="false">IF(I129=0,0,I130/I129)</f>
        <v>0</v>
      </c>
      <c r="J131" s="108" t="n">
        <f aca="false">IF(J129=0,0,J130/J129)</f>
        <v>0</v>
      </c>
      <c r="K131" s="108" t="n">
        <f aca="false">IF(K129=0,0,K130/K129)</f>
        <v>0</v>
      </c>
      <c r="L131" s="108" t="n">
        <f aca="false">IF(L129=0,0,L130/L129)</f>
        <v>0</v>
      </c>
      <c r="M131" s="108" t="n">
        <f aca="false">IF(M129=0,0,M130/M129)</f>
        <v>0</v>
      </c>
      <c r="N131" s="108" t="n">
        <f aca="false">IF(N129=0,0,N130/N129)</f>
        <v>0</v>
      </c>
      <c r="O131" s="108" t="n">
        <f aca="false">IF(O129=0,0,O130/O129)</f>
        <v>0</v>
      </c>
      <c r="P131" s="108" t="n">
        <f aca="false">IF(P129=0,0,P130/P129)</f>
        <v>0</v>
      </c>
    </row>
    <row r="132" customFormat="false" ht="15" hidden="false" customHeight="false" outlineLevel="1" collapsed="false">
      <c r="B132" s="5" t="s">
        <v>365</v>
      </c>
      <c r="C132" s="93" t="n">
        <f aca="false">C53</f>
        <v>8837</v>
      </c>
      <c r="D132" s="93" t="n">
        <f aca="false">D53</f>
        <v>8837</v>
      </c>
      <c r="E132" s="93" t="n">
        <f aca="false">E53</f>
        <v>8837</v>
      </c>
      <c r="F132" s="93" t="n">
        <f aca="false">F53</f>
        <v>8837</v>
      </c>
      <c r="G132" s="93" t="n">
        <f aca="false">G53</f>
        <v>8962</v>
      </c>
      <c r="H132" s="93" t="n">
        <f aca="false">H53</f>
        <v>8962</v>
      </c>
      <c r="I132" s="93" t="n">
        <f aca="false">I53</f>
        <v>8837</v>
      </c>
      <c r="J132" s="93" t="n">
        <f aca="false">J53</f>
        <v>8812</v>
      </c>
      <c r="K132" s="93" t="n">
        <f aca="false">K53</f>
        <v>8812</v>
      </c>
      <c r="L132" s="93" t="n">
        <f aca="false">L53</f>
        <v>8812</v>
      </c>
      <c r="M132" s="93" t="n">
        <f aca="false">M53</f>
        <v>8812</v>
      </c>
      <c r="N132" s="93" t="n">
        <f aca="false">N53</f>
        <v>8962</v>
      </c>
      <c r="O132" s="93" t="n">
        <f aca="false">SUM(C132:N132)</f>
        <v>106319</v>
      </c>
      <c r="P132" s="93" t="n">
        <f aca="false">SUM(I132:N132)</f>
        <v>53047</v>
      </c>
    </row>
    <row r="133" customFormat="false" ht="15" hidden="false" customHeight="false" outlineLevel="1" collapsed="false">
      <c r="B133" s="5" t="s">
        <v>366</v>
      </c>
      <c r="C133" s="93" t="n">
        <f aca="false">C54</f>
        <v>0</v>
      </c>
      <c r="D133" s="93" t="n">
        <f aca="false">D54</f>
        <v>0</v>
      </c>
      <c r="E133" s="93" t="n">
        <f aca="false">E54</f>
        <v>0</v>
      </c>
      <c r="F133" s="93" t="n">
        <f aca="false">F54</f>
        <v>0</v>
      </c>
      <c r="G133" s="93" t="n">
        <f aca="false">G54</f>
        <v>0</v>
      </c>
      <c r="H133" s="93" t="n">
        <f aca="false">H54</f>
        <v>0</v>
      </c>
      <c r="I133" s="93" t="n">
        <f aca="false">I54</f>
        <v>0</v>
      </c>
      <c r="J133" s="93" t="n">
        <f aca="false">J54</f>
        <v>0</v>
      </c>
      <c r="K133" s="93" t="n">
        <f aca="false">K54</f>
        <v>0</v>
      </c>
      <c r="L133" s="93" t="n">
        <f aca="false">L54</f>
        <v>0</v>
      </c>
      <c r="M133" s="93" t="n">
        <f aca="false">M54</f>
        <v>0</v>
      </c>
      <c r="N133" s="93" t="n">
        <f aca="false">N54</f>
        <v>0</v>
      </c>
      <c r="O133" s="93" t="n">
        <f aca="false">SUM(C133:N133)</f>
        <v>0</v>
      </c>
      <c r="P133" s="93" t="n">
        <f aca="false">SUM(I133:N133)</f>
        <v>0</v>
      </c>
    </row>
    <row r="134" customFormat="false" ht="15" hidden="false" customHeight="false" outlineLevel="1" collapsed="false">
      <c r="B134" s="5" t="s">
        <v>367</v>
      </c>
      <c r="C134" s="93" t="n">
        <f aca="false">C55</f>
        <v>0</v>
      </c>
      <c r="D134" s="93" t="n">
        <f aca="false">D55</f>
        <v>0</v>
      </c>
      <c r="E134" s="93" t="n">
        <f aca="false">E55</f>
        <v>0</v>
      </c>
      <c r="F134" s="93" t="n">
        <f aca="false">F55</f>
        <v>0</v>
      </c>
      <c r="G134" s="93" t="n">
        <f aca="false">G55</f>
        <v>0</v>
      </c>
      <c r="H134" s="93" t="n">
        <f aca="false">H55</f>
        <v>0</v>
      </c>
      <c r="I134" s="93" t="n">
        <f aca="false">I55</f>
        <v>0</v>
      </c>
      <c r="J134" s="93" t="n">
        <f aca="false">J55</f>
        <v>0</v>
      </c>
      <c r="K134" s="93" t="n">
        <f aca="false">K55</f>
        <v>0</v>
      </c>
      <c r="L134" s="93" t="n">
        <f aca="false">L55</f>
        <v>0</v>
      </c>
      <c r="M134" s="93" t="n">
        <f aca="false">M55</f>
        <v>0</v>
      </c>
      <c r="N134" s="93" t="n">
        <f aca="false">N55</f>
        <v>0</v>
      </c>
      <c r="O134" s="93" t="n">
        <f aca="false">SUM(C134:N134)</f>
        <v>0</v>
      </c>
      <c r="P134" s="93" t="n">
        <f aca="false">SUM(I134:N134)</f>
        <v>0</v>
      </c>
    </row>
    <row r="135" customFormat="false" ht="15" hidden="false" customHeight="false" outlineLevel="1" collapsed="false">
      <c r="B135" s="5" t="s">
        <v>368</v>
      </c>
      <c r="C135" s="93" t="n">
        <f aca="false">C56</f>
        <v>1032</v>
      </c>
      <c r="D135" s="93" t="n">
        <f aca="false">D56</f>
        <v>1032</v>
      </c>
      <c r="E135" s="93" t="n">
        <f aca="false">E56</f>
        <v>1032</v>
      </c>
      <c r="F135" s="93" t="n">
        <f aca="false">F56</f>
        <v>1032</v>
      </c>
      <c r="G135" s="93" t="n">
        <f aca="false">G56</f>
        <v>1032</v>
      </c>
      <c r="H135" s="93" t="n">
        <f aca="false">H56</f>
        <v>1032</v>
      </c>
      <c r="I135" s="93" t="n">
        <f aca="false">I56</f>
        <v>1032</v>
      </c>
      <c r="J135" s="93" t="n">
        <f aca="false">J56</f>
        <v>1032</v>
      </c>
      <c r="K135" s="93" t="n">
        <f aca="false">K56</f>
        <v>1032</v>
      </c>
      <c r="L135" s="93" t="n">
        <f aca="false">L56</f>
        <v>1032</v>
      </c>
      <c r="M135" s="93" t="n">
        <f aca="false">M56</f>
        <v>1032</v>
      </c>
      <c r="N135" s="93" t="n">
        <f aca="false">N56</f>
        <v>1032</v>
      </c>
      <c r="O135" s="93" t="n">
        <f aca="false">SUM(C135:N135)</f>
        <v>12384</v>
      </c>
      <c r="P135" s="93" t="n">
        <f aca="false">SUM(I135:N135)</f>
        <v>6192</v>
      </c>
    </row>
    <row r="136" customFormat="false" ht="15" hidden="false" customHeight="false" outlineLevel="1" collapsed="false">
      <c r="B136" s="5" t="s">
        <v>369</v>
      </c>
      <c r="C136" s="93" t="n">
        <f aca="false">C57</f>
        <v>0</v>
      </c>
      <c r="D136" s="93" t="n">
        <f aca="false">D57</f>
        <v>0</v>
      </c>
      <c r="E136" s="93" t="n">
        <f aca="false">E57</f>
        <v>0</v>
      </c>
      <c r="F136" s="93" t="n">
        <f aca="false">F57</f>
        <v>0</v>
      </c>
      <c r="G136" s="93" t="n">
        <f aca="false">G57</f>
        <v>0</v>
      </c>
      <c r="H136" s="93" t="n">
        <f aca="false">H57</f>
        <v>0</v>
      </c>
      <c r="I136" s="93" t="n">
        <f aca="false">I57</f>
        <v>0</v>
      </c>
      <c r="J136" s="93" t="n">
        <f aca="false">J57</f>
        <v>0</v>
      </c>
      <c r="K136" s="93" t="n">
        <f aca="false">K57</f>
        <v>0</v>
      </c>
      <c r="L136" s="93" t="n">
        <f aca="false">L57</f>
        <v>0</v>
      </c>
      <c r="M136" s="93" t="n">
        <f aca="false">M57</f>
        <v>0</v>
      </c>
      <c r="N136" s="93" t="n">
        <f aca="false">N57</f>
        <v>0</v>
      </c>
      <c r="O136" s="93" t="n">
        <f aca="false">SUM(C136:N136)</f>
        <v>0</v>
      </c>
      <c r="P136" s="93" t="n">
        <f aca="false">SUM(I136:N136)</f>
        <v>0</v>
      </c>
    </row>
    <row r="137" customFormat="false" ht="15" hidden="false" customHeight="false" outlineLevel="1" collapsed="false">
      <c r="B137" s="5" t="s">
        <v>370</v>
      </c>
      <c r="C137" s="93" t="n">
        <f aca="false">C58</f>
        <v>10</v>
      </c>
      <c r="D137" s="93" t="n">
        <f aca="false">D58</f>
        <v>10</v>
      </c>
      <c r="E137" s="93" t="n">
        <f aca="false">E58</f>
        <v>10</v>
      </c>
      <c r="F137" s="93" t="n">
        <f aca="false">F58</f>
        <v>10</v>
      </c>
      <c r="G137" s="93" t="n">
        <f aca="false">G58</f>
        <v>10</v>
      </c>
      <c r="H137" s="93" t="n">
        <f aca="false">H58</f>
        <v>10</v>
      </c>
      <c r="I137" s="93" t="n">
        <f aca="false">I58</f>
        <v>10</v>
      </c>
      <c r="J137" s="93" t="n">
        <f aca="false">J58</f>
        <v>10</v>
      </c>
      <c r="K137" s="93" t="n">
        <f aca="false">K58</f>
        <v>10</v>
      </c>
      <c r="L137" s="93" t="n">
        <f aca="false">L58</f>
        <v>10</v>
      </c>
      <c r="M137" s="93" t="n">
        <f aca="false">M58</f>
        <v>10</v>
      </c>
      <c r="N137" s="93" t="n">
        <f aca="false">N58</f>
        <v>10</v>
      </c>
      <c r="O137" s="93" t="n">
        <f aca="false">SUM(C137:N137)</f>
        <v>120</v>
      </c>
      <c r="P137" s="93" t="n">
        <f aca="false">SUM(I137:N137)</f>
        <v>60</v>
      </c>
    </row>
    <row r="138" customFormat="false" ht="15" hidden="false" customHeight="false" outlineLevel="1" collapsed="false">
      <c r="B138" s="119" t="s">
        <v>371</v>
      </c>
      <c r="C138" s="120" t="n">
        <f aca="false">C59+C78+C79</f>
        <v>9850.1867</v>
      </c>
      <c r="D138" s="120" t="n">
        <f aca="false">D59+D78+D79</f>
        <v>9916.8533</v>
      </c>
      <c r="E138" s="120" t="n">
        <f aca="false">E59+E78+E79</f>
        <v>11149.895</v>
      </c>
      <c r="F138" s="120" t="n">
        <f aca="false">F59+F78+F79</f>
        <v>11393.2283</v>
      </c>
      <c r="G138" s="120" t="n">
        <f aca="false">G59+G78+G79</f>
        <v>12143.2283</v>
      </c>
      <c r="H138" s="120" t="n">
        <f aca="false">H59+H78+H79</f>
        <v>12226.5617</v>
      </c>
      <c r="I138" s="120" t="n">
        <f aca="false">I59+I78+I79</f>
        <v>12226.5617</v>
      </c>
      <c r="J138" s="120" t="n">
        <f aca="false">J59+J78+J79</f>
        <v>12518.2283666667</v>
      </c>
      <c r="K138" s="120" t="n">
        <f aca="false">K59+K78+K79</f>
        <v>12518.2283666667</v>
      </c>
      <c r="L138" s="120" t="n">
        <f aca="false">L59+L78+L79</f>
        <v>12518.2283666667</v>
      </c>
      <c r="M138" s="120" t="n">
        <f aca="false">M59+M78+M79</f>
        <v>12518.2283666667</v>
      </c>
      <c r="N138" s="120" t="n">
        <f aca="false">N59+N78+N79</f>
        <v>12518.2283666667</v>
      </c>
      <c r="O138" s="120" t="n">
        <f aca="false">SUM(C138:N138)</f>
        <v>141497.656833333</v>
      </c>
      <c r="P138" s="120" t="n">
        <f aca="false">SUM(I138:N138)</f>
        <v>74817.7035333333</v>
      </c>
      <c r="Q138" s="67" t="s">
        <v>448</v>
      </c>
    </row>
    <row r="139" customFormat="false" ht="15" hidden="false" customHeight="false" outlineLevel="1" collapsed="false">
      <c r="B139" s="5" t="s">
        <v>372</v>
      </c>
      <c r="C139" s="93" t="n">
        <f aca="false">C60</f>
        <v>984</v>
      </c>
      <c r="D139" s="93" t="n">
        <f aca="false">D60</f>
        <v>984</v>
      </c>
      <c r="E139" s="93" t="n">
        <f aca="false">E60</f>
        <v>1014</v>
      </c>
      <c r="F139" s="93" t="n">
        <f aca="false">F60</f>
        <v>1160</v>
      </c>
      <c r="G139" s="93" t="n">
        <f aca="false">G60</f>
        <v>1506</v>
      </c>
      <c r="H139" s="93" t="n">
        <f aca="false">H60</f>
        <v>1605</v>
      </c>
      <c r="I139" s="93" t="n">
        <f aca="false">I60</f>
        <v>1285</v>
      </c>
      <c r="J139" s="93" t="n">
        <f aca="false">J60</f>
        <v>1160</v>
      </c>
      <c r="K139" s="93" t="n">
        <f aca="false">K60</f>
        <v>1190</v>
      </c>
      <c r="L139" s="93" t="n">
        <f aca="false">L60</f>
        <v>1160</v>
      </c>
      <c r="M139" s="93" t="n">
        <f aca="false">M60</f>
        <v>1324</v>
      </c>
      <c r="N139" s="93" t="n">
        <f aca="false">N60</f>
        <v>1741</v>
      </c>
      <c r="O139" s="93" t="n">
        <f aca="false">SUM(C139:N139)</f>
        <v>15113</v>
      </c>
      <c r="P139" s="93" t="n">
        <f aca="false">SUM(I139:N139)</f>
        <v>7860</v>
      </c>
    </row>
    <row r="140" customFormat="false" ht="15" hidden="false" customHeight="false" outlineLevel="1" collapsed="false">
      <c r="B140" s="5" t="s">
        <v>373</v>
      </c>
      <c r="C140" s="93" t="n">
        <f aca="false">C61</f>
        <v>300</v>
      </c>
      <c r="D140" s="93" t="n">
        <f aca="false">D61</f>
        <v>300</v>
      </c>
      <c r="E140" s="93" t="n">
        <f aca="false">E61</f>
        <v>300</v>
      </c>
      <c r="F140" s="93" t="n">
        <f aca="false">F61</f>
        <v>300</v>
      </c>
      <c r="G140" s="93" t="n">
        <f aca="false">G61</f>
        <v>300</v>
      </c>
      <c r="H140" s="93" t="n">
        <f aca="false">H61</f>
        <v>300</v>
      </c>
      <c r="I140" s="93" t="n">
        <f aca="false">I61</f>
        <v>300</v>
      </c>
      <c r="J140" s="93" t="n">
        <f aca="false">J61</f>
        <v>300</v>
      </c>
      <c r="K140" s="93" t="n">
        <f aca="false">K61</f>
        <v>300</v>
      </c>
      <c r="L140" s="93" t="n">
        <f aca="false">L61</f>
        <v>300</v>
      </c>
      <c r="M140" s="93" t="n">
        <f aca="false">M61</f>
        <v>300</v>
      </c>
      <c r="N140" s="93" t="n">
        <f aca="false">N61</f>
        <v>300</v>
      </c>
      <c r="O140" s="93" t="n">
        <f aca="false">SUM(C140:N140)</f>
        <v>3600</v>
      </c>
      <c r="P140" s="93" t="n">
        <f aca="false">SUM(I140:N140)</f>
        <v>1800</v>
      </c>
    </row>
    <row r="141" customFormat="false" ht="15" hidden="false" customHeight="false" outlineLevel="0" collapsed="false">
      <c r="B141" s="12" t="s">
        <v>374</v>
      </c>
      <c r="C141" s="118" t="n">
        <f aca="false">C102+C112+C115+C119</f>
        <v>219177.7467</v>
      </c>
      <c r="D141" s="118" t="n">
        <f aca="false">D102+D112+D115+D119</f>
        <v>226585.3764</v>
      </c>
      <c r="E141" s="118" t="n">
        <f aca="false">E102+E112+E115+E119</f>
        <v>215497.815</v>
      </c>
      <c r="F141" s="118" t="n">
        <f aca="false">F102+F112+F115+F119</f>
        <v>218565.5078</v>
      </c>
      <c r="G141" s="118" t="n">
        <f aca="false">G102+G112+G115+G119</f>
        <v>208982.0724</v>
      </c>
      <c r="H141" s="118" t="n">
        <f aca="false">H102+H112+H115+H119</f>
        <v>232441.4789</v>
      </c>
      <c r="I141" s="118" t="n">
        <f aca="false">I102+I112+I115+I119</f>
        <v>221115.7591</v>
      </c>
      <c r="J141" s="118" t="n">
        <f aca="false">J102+J112+J115+J119</f>
        <v>209568.240366667</v>
      </c>
      <c r="K141" s="118" t="n">
        <f aca="false">K102+K112+K115+K119</f>
        <v>230928.912366667</v>
      </c>
      <c r="L141" s="118" t="n">
        <f aca="false">L102+L112+L115+L119</f>
        <v>220919.648366667</v>
      </c>
      <c r="M141" s="118" t="n">
        <f aca="false">M102+M112+M115+M119</f>
        <v>225064.012366667</v>
      </c>
      <c r="N141" s="118" t="n">
        <f aca="false">N102+N112+N115+N119</f>
        <v>222849.648366667</v>
      </c>
      <c r="O141" s="93" t="n">
        <f aca="false">SUM(C141:N141)</f>
        <v>2651696.21813333</v>
      </c>
      <c r="P141" s="93" t="n">
        <f aca="false">SUM(I141:N141)</f>
        <v>1330446.22093333</v>
      </c>
      <c r="Q141" s="14" t="s">
        <v>447</v>
      </c>
    </row>
    <row r="142" customFormat="false" ht="15" hidden="false" customHeight="false" outlineLevel="0" collapsed="false">
      <c r="B142" s="5" t="s">
        <v>375</v>
      </c>
      <c r="C142" s="93" t="n">
        <f aca="false">C63</f>
        <v>0</v>
      </c>
      <c r="D142" s="93" t="n">
        <f aca="false">D63</f>
        <v>0</v>
      </c>
      <c r="E142" s="93" t="n">
        <f aca="false">E63</f>
        <v>0</v>
      </c>
      <c r="F142" s="93" t="n">
        <f aca="false">F63</f>
        <v>0</v>
      </c>
      <c r="G142" s="93" t="n">
        <f aca="false">G63</f>
        <v>0</v>
      </c>
      <c r="H142" s="93" t="n">
        <f aca="false">H63</f>
        <v>0</v>
      </c>
      <c r="I142" s="93" t="n">
        <f aca="false">I63</f>
        <v>0</v>
      </c>
      <c r="J142" s="93" t="n">
        <f aca="false">J63</f>
        <v>0</v>
      </c>
      <c r="K142" s="93" t="n">
        <f aca="false">K63</f>
        <v>0</v>
      </c>
      <c r="L142" s="93" t="n">
        <f aca="false">L63</f>
        <v>0</v>
      </c>
      <c r="M142" s="93" t="n">
        <f aca="false">M63</f>
        <v>0</v>
      </c>
      <c r="N142" s="93" t="n">
        <f aca="false">N63</f>
        <v>0</v>
      </c>
      <c r="O142" s="93" t="n">
        <f aca="false">SUM(C142:N142)</f>
        <v>0</v>
      </c>
      <c r="P142" s="93" t="n">
        <f aca="false">SUM(I142:N142)</f>
        <v>0</v>
      </c>
    </row>
    <row r="143" customFormat="false" ht="15" hidden="false" customHeight="false" outlineLevel="0" collapsed="false">
      <c r="B143" s="12" t="s">
        <v>376</v>
      </c>
      <c r="C143" s="118" t="n">
        <f aca="false">C88-C141+C142</f>
        <v>4992.25329999998</v>
      </c>
      <c r="D143" s="118" t="n">
        <f aca="false">D88-D141+D142</f>
        <v>11406.0076</v>
      </c>
      <c r="E143" s="118" t="n">
        <f aca="false">E88-E141+E142</f>
        <v>-2807.815</v>
      </c>
      <c r="F143" s="118" t="n">
        <f aca="false">F88-F141+F142</f>
        <v>1098.96319999997</v>
      </c>
      <c r="G143" s="118" t="n">
        <f aca="false">G88-G141+G142</f>
        <v>4249.44759999999</v>
      </c>
      <c r="H143" s="118" t="n">
        <f aca="false">H88-H141+H142</f>
        <v>8054.27110000001</v>
      </c>
      <c r="I143" s="118" t="n">
        <f aca="false">I88-I141+I142</f>
        <v>-2319.89610000001</v>
      </c>
      <c r="J143" s="118" t="n">
        <f aca="false">J88-J141+J142</f>
        <v>-2456.84036666667</v>
      </c>
      <c r="K143" s="118" t="n">
        <f aca="false">K88-K141+K142</f>
        <v>3580.08763333334</v>
      </c>
      <c r="L143" s="118" t="n">
        <f aca="false">L88-L141+L142</f>
        <v>3860.35163333331</v>
      </c>
      <c r="M143" s="118" t="n">
        <f aca="false">M88-M141+M142</f>
        <v>2535.98763333331</v>
      </c>
      <c r="N143" s="118" t="n">
        <f aca="false">N88-N141+N142</f>
        <v>-3602.37976666668</v>
      </c>
      <c r="O143" s="93" t="n">
        <f aca="false">SUM(C143:N143)</f>
        <v>28590.4384666665</v>
      </c>
      <c r="P143" s="93" t="n">
        <f aca="false">SUM(I143:N143)</f>
        <v>1597.3106666666</v>
      </c>
      <c r="Q143" s="14" t="s">
        <v>447</v>
      </c>
    </row>
    <row r="144" customFormat="false" ht="15" hidden="false" customHeight="false" outlineLevel="1" collapsed="false">
      <c r="B144" s="5" t="s">
        <v>377</v>
      </c>
      <c r="C144" s="93" t="n">
        <f aca="false">C65</f>
        <v>0</v>
      </c>
      <c r="D144" s="93" t="n">
        <f aca="false">D65</f>
        <v>0</v>
      </c>
      <c r="E144" s="93" t="n">
        <f aca="false">E65</f>
        <v>0</v>
      </c>
      <c r="F144" s="93" t="n">
        <f aca="false">F65</f>
        <v>0</v>
      </c>
      <c r="G144" s="93" t="n">
        <f aca="false">G65</f>
        <v>0</v>
      </c>
      <c r="H144" s="93" t="n">
        <f aca="false">H65</f>
        <v>0</v>
      </c>
      <c r="I144" s="93" t="n">
        <f aca="false">I65</f>
        <v>0</v>
      </c>
      <c r="J144" s="93" t="n">
        <f aca="false">J65</f>
        <v>0</v>
      </c>
      <c r="K144" s="93" t="n">
        <f aca="false">K65</f>
        <v>0</v>
      </c>
      <c r="L144" s="93" t="n">
        <f aca="false">L65</f>
        <v>0</v>
      </c>
      <c r="M144" s="93" t="n">
        <f aca="false">M65</f>
        <v>0</v>
      </c>
      <c r="N144" s="93" t="n">
        <f aca="false">N65</f>
        <v>0</v>
      </c>
      <c r="O144" s="93" t="n">
        <f aca="false">SUM(C144:N144)</f>
        <v>0</v>
      </c>
      <c r="P144" s="93" t="n">
        <f aca="false">SUM(I144:N144)</f>
        <v>0</v>
      </c>
    </row>
    <row r="145" customFormat="false" ht="15" hidden="false" customHeight="false" outlineLevel="1" collapsed="false">
      <c r="B145" s="5" t="s">
        <v>378</v>
      </c>
      <c r="C145" s="93" t="n">
        <f aca="false">C66</f>
        <v>0</v>
      </c>
      <c r="D145" s="93" t="n">
        <f aca="false">D66</f>
        <v>0</v>
      </c>
      <c r="E145" s="93" t="n">
        <f aca="false">E66</f>
        <v>0</v>
      </c>
      <c r="F145" s="93" t="n">
        <f aca="false">F66</f>
        <v>0</v>
      </c>
      <c r="G145" s="93" t="n">
        <f aca="false">G66</f>
        <v>0</v>
      </c>
      <c r="H145" s="93" t="n">
        <f aca="false">H66</f>
        <v>0</v>
      </c>
      <c r="I145" s="93" t="n">
        <f aca="false">I66</f>
        <v>0</v>
      </c>
      <c r="J145" s="93" t="n">
        <f aca="false">J66</f>
        <v>0</v>
      </c>
      <c r="K145" s="93" t="n">
        <f aca="false">K66</f>
        <v>0</v>
      </c>
      <c r="L145" s="93" t="n">
        <f aca="false">L66</f>
        <v>0</v>
      </c>
      <c r="M145" s="93" t="n">
        <f aca="false">M66</f>
        <v>0</v>
      </c>
      <c r="N145" s="93" t="n">
        <f aca="false">N66</f>
        <v>0</v>
      </c>
      <c r="O145" s="93" t="n">
        <f aca="false">SUM(C145:N145)</f>
        <v>0</v>
      </c>
      <c r="P145" s="93" t="n">
        <f aca="false">SUM(I145:N145)</f>
        <v>0</v>
      </c>
    </row>
    <row r="146" customFormat="false" ht="15" hidden="false" customHeight="false" outlineLevel="1" collapsed="false">
      <c r="B146" s="5" t="s">
        <v>379</v>
      </c>
      <c r="C146" s="93" t="n">
        <f aca="false">C67</f>
        <v>0</v>
      </c>
      <c r="D146" s="93" t="n">
        <f aca="false">D67</f>
        <v>0</v>
      </c>
      <c r="E146" s="93" t="n">
        <f aca="false">E67</f>
        <v>0</v>
      </c>
      <c r="F146" s="93" t="n">
        <f aca="false">F67</f>
        <v>0</v>
      </c>
      <c r="G146" s="93" t="n">
        <f aca="false">G67</f>
        <v>0</v>
      </c>
      <c r="H146" s="93" t="n">
        <f aca="false">H67</f>
        <v>0</v>
      </c>
      <c r="I146" s="93" t="n">
        <f aca="false">I67</f>
        <v>0</v>
      </c>
      <c r="J146" s="93" t="n">
        <f aca="false">J67</f>
        <v>0</v>
      </c>
      <c r="K146" s="93" t="n">
        <f aca="false">K67</f>
        <v>0</v>
      </c>
      <c r="L146" s="93" t="n">
        <f aca="false">L67</f>
        <v>0</v>
      </c>
      <c r="M146" s="93" t="n">
        <f aca="false">M67</f>
        <v>0</v>
      </c>
      <c r="N146" s="93" t="n">
        <f aca="false">N67</f>
        <v>0</v>
      </c>
      <c r="O146" s="93" t="n">
        <f aca="false">SUM(C146:N146)</f>
        <v>0</v>
      </c>
      <c r="P146" s="93" t="n">
        <f aca="false">SUM(I146:N146)</f>
        <v>0</v>
      </c>
    </row>
    <row r="147" customFormat="false" ht="15" hidden="false" customHeight="false" outlineLevel="1" collapsed="false">
      <c r="B147" s="5" t="s">
        <v>380</v>
      </c>
      <c r="C147" s="93" t="n">
        <f aca="false">C68</f>
        <v>0</v>
      </c>
      <c r="D147" s="93" t="n">
        <f aca="false">D68</f>
        <v>0</v>
      </c>
      <c r="E147" s="93" t="n">
        <f aca="false">E68</f>
        <v>0</v>
      </c>
      <c r="F147" s="93" t="n">
        <f aca="false">F68</f>
        <v>0</v>
      </c>
      <c r="G147" s="93" t="n">
        <f aca="false">G68</f>
        <v>0</v>
      </c>
      <c r="H147" s="93" t="n">
        <f aca="false">H68</f>
        <v>0</v>
      </c>
      <c r="I147" s="93" t="n">
        <f aca="false">I68</f>
        <v>0</v>
      </c>
      <c r="J147" s="93" t="n">
        <f aca="false">J68</f>
        <v>0</v>
      </c>
      <c r="K147" s="93" t="n">
        <f aca="false">K68</f>
        <v>0</v>
      </c>
      <c r="L147" s="93" t="n">
        <f aca="false">L68</f>
        <v>0</v>
      </c>
      <c r="M147" s="93" t="n">
        <f aca="false">M68</f>
        <v>0</v>
      </c>
      <c r="N147" s="93" t="n">
        <f aca="false">N68</f>
        <v>0</v>
      </c>
      <c r="O147" s="93" t="n">
        <f aca="false">SUM(C147:N147)</f>
        <v>0</v>
      </c>
      <c r="P147" s="93" t="n">
        <f aca="false">SUM(I147:N147)</f>
        <v>0</v>
      </c>
    </row>
    <row r="148" customFormat="false" ht="15" hidden="false" customHeight="false" outlineLevel="1" collapsed="false">
      <c r="B148" s="5" t="s">
        <v>381</v>
      </c>
      <c r="C148" s="93" t="n">
        <f aca="false">C69</f>
        <v>0</v>
      </c>
      <c r="D148" s="93" t="n">
        <f aca="false">D69</f>
        <v>0</v>
      </c>
      <c r="E148" s="93" t="n">
        <f aca="false">E69</f>
        <v>0</v>
      </c>
      <c r="F148" s="93" t="n">
        <f aca="false">F69</f>
        <v>0</v>
      </c>
      <c r="G148" s="93" t="n">
        <f aca="false">G69</f>
        <v>0</v>
      </c>
      <c r="H148" s="93" t="n">
        <f aca="false">H69</f>
        <v>0</v>
      </c>
      <c r="I148" s="93" t="n">
        <f aca="false">I69</f>
        <v>0</v>
      </c>
      <c r="J148" s="93" t="n">
        <f aca="false">J69</f>
        <v>0</v>
      </c>
      <c r="K148" s="93" t="n">
        <f aca="false">K69</f>
        <v>0</v>
      </c>
      <c r="L148" s="93" t="n">
        <f aca="false">L69</f>
        <v>0</v>
      </c>
      <c r="M148" s="93" t="n">
        <f aca="false">M69</f>
        <v>0</v>
      </c>
      <c r="N148" s="93" t="n">
        <f aca="false">N69</f>
        <v>0</v>
      </c>
      <c r="O148" s="93" t="n">
        <f aca="false">SUM(C148:N148)</f>
        <v>0</v>
      </c>
      <c r="P148" s="93" t="n">
        <f aca="false">SUM(I148:N148)</f>
        <v>0</v>
      </c>
    </row>
    <row r="149" customFormat="false" ht="15" hidden="false" customHeight="false" outlineLevel="0" collapsed="false">
      <c r="B149" s="114" t="s">
        <v>382</v>
      </c>
      <c r="C149" s="115" t="n">
        <f aca="false">C143+C144-C145-C146-C147-C148</f>
        <v>4992.25329999998</v>
      </c>
      <c r="D149" s="115" t="n">
        <f aca="false">D143+D144-D145-D146-D147-D148</f>
        <v>11406.0076</v>
      </c>
      <c r="E149" s="115" t="n">
        <f aca="false">E143+E144-E145-E146-E147-E148</f>
        <v>-2807.815</v>
      </c>
      <c r="F149" s="115" t="n">
        <f aca="false">F143+F144-F145-F146-F147-F148</f>
        <v>1098.96319999997</v>
      </c>
      <c r="G149" s="115" t="n">
        <f aca="false">G143+G144-G145-G146-G147-G148</f>
        <v>4249.44759999999</v>
      </c>
      <c r="H149" s="115" t="n">
        <f aca="false">H143+H144-H145-H146-H147-H148</f>
        <v>8054.27110000001</v>
      </c>
      <c r="I149" s="115" t="n">
        <f aca="false">I143+I144-I145-I146-I147-I148</f>
        <v>-2319.89610000001</v>
      </c>
      <c r="J149" s="115" t="n">
        <f aca="false">J143+J144-J145-J146-J147-J148</f>
        <v>-2456.84036666667</v>
      </c>
      <c r="K149" s="115" t="n">
        <f aca="false">K143+K144-K145-K146-K147-K148</f>
        <v>3580.08763333334</v>
      </c>
      <c r="L149" s="115" t="n">
        <f aca="false">L143+L144-L145-L146-L147-L148</f>
        <v>3860.35163333331</v>
      </c>
      <c r="M149" s="115" t="n">
        <f aca="false">M143+M144-M145-M146-M147-M148</f>
        <v>2535.98763333331</v>
      </c>
      <c r="N149" s="115" t="n">
        <f aca="false">N143+N144-N145-N146-N147-N148</f>
        <v>-3602.37976666668</v>
      </c>
      <c r="O149" s="121" t="n">
        <f aca="false">SUM(C149:N149)</f>
        <v>28590.4384666665</v>
      </c>
      <c r="P149" s="121" t="n">
        <f aca="false">SUM(I149:N149)</f>
        <v>1597.3106666666</v>
      </c>
    </row>
    <row r="151" customFormat="false" ht="15" hidden="false" customHeight="false" outlineLevel="0" collapsed="false">
      <c r="B151" s="3" t="s">
        <v>449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customFormat="false" ht="15" hidden="false" customHeight="false" outlineLevel="0" collapsed="false">
      <c r="B152" s="12" t="s">
        <v>450</v>
      </c>
      <c r="C152" s="118" t="n">
        <f aca="false">C70</f>
        <v>4992.25329999998</v>
      </c>
      <c r="D152" s="118" t="n">
        <f aca="false">D70</f>
        <v>11406.0076</v>
      </c>
      <c r="E152" s="118" t="n">
        <f aca="false">E70</f>
        <v>-2807.815</v>
      </c>
      <c r="F152" s="118" t="n">
        <f aca="false">F70</f>
        <v>1098.96319999997</v>
      </c>
      <c r="G152" s="118" t="n">
        <f aca="false">G70</f>
        <v>4249.44759999999</v>
      </c>
      <c r="H152" s="118" t="n">
        <f aca="false">H70</f>
        <v>8054.27110000001</v>
      </c>
      <c r="I152" s="118" t="n">
        <f aca="false">I70</f>
        <v>-2319.89610000001</v>
      </c>
      <c r="J152" s="118" t="n">
        <f aca="false">J70</f>
        <v>-2565.48170000003</v>
      </c>
      <c r="K152" s="118" t="n">
        <f aca="false">K70</f>
        <v>3454.53829999999</v>
      </c>
      <c r="L152" s="118" t="n">
        <f aca="false">L70</f>
        <v>3740.43829999998</v>
      </c>
      <c r="M152" s="118" t="n">
        <f aca="false">M70</f>
        <v>2410.43829999998</v>
      </c>
      <c r="N152" s="118" t="n">
        <f aca="false">N70</f>
        <v>-3722.29310000001</v>
      </c>
      <c r="O152" s="118" t="n">
        <f aca="false">O70</f>
        <v>27990.8717999998</v>
      </c>
      <c r="P152" s="118" t="n">
        <f aca="false">P70</f>
        <v>997.74399999989</v>
      </c>
      <c r="Q152" s="14" t="s">
        <v>451</v>
      </c>
    </row>
    <row r="153" customFormat="false" ht="15" hidden="false" customHeight="false" outlineLevel="0" collapsed="false">
      <c r="B153" s="12" t="s">
        <v>452</v>
      </c>
      <c r="C153" s="118" t="n">
        <f aca="false">C149</f>
        <v>4992.25329999998</v>
      </c>
      <c r="D153" s="118" t="n">
        <f aca="false">D149</f>
        <v>11406.0076</v>
      </c>
      <c r="E153" s="118" t="n">
        <f aca="false">E149</f>
        <v>-2807.815</v>
      </c>
      <c r="F153" s="118" t="n">
        <f aca="false">F149</f>
        <v>1098.96319999997</v>
      </c>
      <c r="G153" s="118" t="n">
        <f aca="false">G149</f>
        <v>4249.44759999999</v>
      </c>
      <c r="H153" s="118" t="n">
        <f aca="false">H149</f>
        <v>8054.27110000001</v>
      </c>
      <c r="I153" s="118" t="n">
        <f aca="false">I149</f>
        <v>-2319.89610000001</v>
      </c>
      <c r="J153" s="118" t="n">
        <f aca="false">J149</f>
        <v>-2456.84036666667</v>
      </c>
      <c r="K153" s="118" t="n">
        <f aca="false">K149</f>
        <v>3580.08763333334</v>
      </c>
      <c r="L153" s="118" t="n">
        <f aca="false">L149</f>
        <v>3860.35163333331</v>
      </c>
      <c r="M153" s="118" t="n">
        <f aca="false">M149</f>
        <v>2535.98763333331</v>
      </c>
      <c r="N153" s="118" t="n">
        <f aca="false">N149</f>
        <v>-3602.37976666668</v>
      </c>
      <c r="O153" s="118" t="n">
        <f aca="false">O149</f>
        <v>28590.4384666665</v>
      </c>
      <c r="P153" s="118" t="n">
        <f aca="false">P149</f>
        <v>1597.3106666666</v>
      </c>
    </row>
    <row r="154" customFormat="false" ht="15" hidden="false" customHeight="false" outlineLevel="0" collapsed="false">
      <c r="B154" s="114" t="s">
        <v>453</v>
      </c>
      <c r="C154" s="115" t="n">
        <f aca="false">C153-C152</f>
        <v>0</v>
      </c>
      <c r="D154" s="115" t="n">
        <f aca="false">D153-D152</f>
        <v>0</v>
      </c>
      <c r="E154" s="115" t="n">
        <f aca="false">E153-E152</f>
        <v>0</v>
      </c>
      <c r="F154" s="115" t="n">
        <f aca="false">F153-F152</f>
        <v>0</v>
      </c>
      <c r="G154" s="115" t="n">
        <f aca="false">G153-G152</f>
        <v>0</v>
      </c>
      <c r="H154" s="115" t="n">
        <f aca="false">H153-H152</f>
        <v>0</v>
      </c>
      <c r="I154" s="115" t="n">
        <f aca="false">I153-I152</f>
        <v>0</v>
      </c>
      <c r="J154" s="115" t="n">
        <f aca="false">J153-J152</f>
        <v>108.641333333362</v>
      </c>
      <c r="K154" s="115" t="n">
        <f aca="false">K153-K152</f>
        <v>125.549333333357</v>
      </c>
      <c r="L154" s="115" t="n">
        <f aca="false">L153-L152</f>
        <v>119.91333333333</v>
      </c>
      <c r="M154" s="115" t="n">
        <f aca="false">M153-M152</f>
        <v>125.549333333329</v>
      </c>
      <c r="N154" s="115" t="n">
        <f aca="false">N153-N152</f>
        <v>119.91333333333</v>
      </c>
      <c r="O154" s="115" t="n">
        <f aca="false">O153-O152</f>
        <v>599.566666666709</v>
      </c>
      <c r="P154" s="115" t="n">
        <f aca="false">P153-P152</f>
        <v>599.566666666709</v>
      </c>
      <c r="Q154" s="14" t="s">
        <v>454</v>
      </c>
    </row>
    <row r="155" customFormat="false" ht="15" hidden="false" customHeight="false" outlineLevel="0" collapsed="false">
      <c r="B155" s="5" t="s">
        <v>49</v>
      </c>
      <c r="C155" s="122" t="str">
        <f aca="false">IF(C154&gt;0,"予算超",IF(C154=0,"予算通り","未達"))</f>
        <v>予算通り</v>
      </c>
      <c r="D155" s="122" t="str">
        <f aca="false">IF(D154&gt;0,"予算超",IF(D154=0,"予算通り","未達"))</f>
        <v>予算通り</v>
      </c>
      <c r="E155" s="122" t="str">
        <f aca="false">IF(E154&gt;0,"予算超",IF(E154=0,"予算通り","未達"))</f>
        <v>予算通り</v>
      </c>
      <c r="F155" s="122" t="str">
        <f aca="false">IF(F154&gt;0,"予算超",IF(F154=0,"予算通り","未達"))</f>
        <v>予算通り</v>
      </c>
      <c r="G155" s="122" t="str">
        <f aca="false">IF(G154&gt;0,"予算超",IF(G154=0,"予算通り","未達"))</f>
        <v>予算通り</v>
      </c>
      <c r="H155" s="122" t="str">
        <f aca="false">IF(H154&gt;0,"予算超",IF(H154=0,"予算通り","未達"))</f>
        <v>予算通り</v>
      </c>
      <c r="I155" s="122" t="str">
        <f aca="false">IF(I154&gt;0,"予算超",IF(I154=0,"予算通り","未達"))</f>
        <v>予算通り</v>
      </c>
      <c r="J155" s="122" t="str">
        <f aca="false">IF(J154&gt;0,"予算超",IF(J154=0,"予算通り","未達"))</f>
        <v>予算超</v>
      </c>
      <c r="K155" s="122" t="str">
        <f aca="false">IF(K154&gt;0,"予算超",IF(K154=0,"予算通り","未達"))</f>
        <v>予算超</v>
      </c>
      <c r="L155" s="122" t="str">
        <f aca="false">IF(L154&gt;0,"予算超",IF(L154=0,"予算通り","未達"))</f>
        <v>予算超</v>
      </c>
      <c r="M155" s="122" t="str">
        <f aca="false">IF(M154&gt;0,"予算超",IF(M154=0,"予算通り","未達"))</f>
        <v>予算超</v>
      </c>
      <c r="N155" s="122" t="str">
        <f aca="false">IF(N154&gt;0,"予算超",IF(N154=0,"予算通り","未達"))</f>
        <v>予算超</v>
      </c>
      <c r="O155" s="122" t="str">
        <f aca="false">IF(O154&gt;0,"予算超",IF(O154=0,"予算通り","未達"))</f>
        <v>予算超</v>
      </c>
      <c r="P155" s="122" t="str">
        <f aca="false">IF(P154&gt;0,"予算超",IF(P154=0,"予算通り","未達"))</f>
        <v>予算超</v>
      </c>
    </row>
    <row r="156" customFormat="false" ht="15" hidden="false" customHeight="false" outlineLevel="0" collapsed="false">
      <c r="B156" s="5" t="s">
        <v>455</v>
      </c>
      <c r="C156" s="123" t="n">
        <f aca="false">IF(C8=0,0,C70/C8)</f>
        <v>0.00633695519167299</v>
      </c>
      <c r="D156" s="123" t="n">
        <f aca="false">IF(D8=0,0,D70/D8)</f>
        <v>0.0136304510929176</v>
      </c>
      <c r="E156" s="123" t="n">
        <f aca="false">IF(E8=0,0,E70/E8)</f>
        <v>-0.00375577180310327</v>
      </c>
      <c r="F156" s="123" t="n">
        <f aca="false">IF(F8=0,0,F70/F8)</f>
        <v>0.00142256102072392</v>
      </c>
      <c r="G156" s="123" t="n">
        <f aca="false">IF(G8=0,0,G70/G8)</f>
        <v>0.00566369848509823</v>
      </c>
      <c r="H156" s="123" t="n">
        <f aca="false">IF(H8=0,0,H70/H8)</f>
        <v>0.00950686548102396</v>
      </c>
      <c r="I156" s="123" t="n">
        <f aca="false">IF(I8=0,0,I70/I8)</f>
        <v>-0.00301199204466636</v>
      </c>
      <c r="J156" s="123" t="n">
        <f aca="false">IF(J8=0,0,J70/J8)</f>
        <v>-0.00351628522478075</v>
      </c>
      <c r="K156" s="123" t="n">
        <f aca="false">IF(K8=0,0,K70/K8)</f>
        <v>0.004179719661222</v>
      </c>
      <c r="L156" s="123" t="n">
        <f aca="false">IF(L8=0,0,L70/L8)</f>
        <v>0.00472277563131311</v>
      </c>
      <c r="M156" s="123" t="n">
        <f aca="false">IF(M8=0,0,M70/M8)</f>
        <v>0.00300553403990022</v>
      </c>
      <c r="N156" s="123" t="n">
        <f aca="false">IF(N8=0,0,N70/N8)</f>
        <v>-0.00479059601029602</v>
      </c>
      <c r="O156" s="123" t="n">
        <f aca="false">IF(O8=0,0,O70/O8)</f>
        <v>0.00296527639568195</v>
      </c>
      <c r="P156" s="123" t="n">
        <f aca="false">IF(P8=0,0,P70/P8)</f>
        <v>0.000212407080867316</v>
      </c>
    </row>
    <row r="157" customFormat="false" ht="15" hidden="false" customHeight="false" outlineLevel="0" collapsed="false">
      <c r="B157" s="5" t="s">
        <v>456</v>
      </c>
      <c r="C157" s="123" t="n">
        <f aca="false">IF(C8=0,0,C149/C8)</f>
        <v>0.00633695519167299</v>
      </c>
      <c r="D157" s="123" t="n">
        <f aca="false">IF(D8=0,0,D149/D8)</f>
        <v>0.0136304510929176</v>
      </c>
      <c r="E157" s="123" t="n">
        <f aca="false">IF(E8=0,0,E149/E8)</f>
        <v>-0.00375577180310327</v>
      </c>
      <c r="F157" s="123" t="n">
        <f aca="false">IF(F8=0,0,F149/F8)</f>
        <v>0.00142256102072392</v>
      </c>
      <c r="G157" s="123" t="n">
        <f aca="false">IF(G8=0,0,G149/G8)</f>
        <v>0.00566369848509823</v>
      </c>
      <c r="H157" s="123" t="n">
        <f aca="false">IF(H8=0,0,H149/H8)</f>
        <v>0.00950686548102396</v>
      </c>
      <c r="I157" s="123" t="n">
        <f aca="false">IF(I8=0,0,I149/I8)</f>
        <v>-0.00301199204466636</v>
      </c>
      <c r="J157" s="123" t="n">
        <f aca="false">IF(J8=0,0,J149/J8)</f>
        <v>-0.0033673798885234</v>
      </c>
      <c r="K157" s="123" t="n">
        <f aca="false">IF(K8=0,0,K149/K8)</f>
        <v>0.0043316244807421</v>
      </c>
      <c r="L157" s="123" t="n">
        <f aca="false">IF(L8=0,0,L149/L8)</f>
        <v>0.00487418135521883</v>
      </c>
      <c r="M157" s="123" t="n">
        <f aca="false">IF(M8=0,0,M149/M8)</f>
        <v>0.00316207934330836</v>
      </c>
      <c r="N157" s="123" t="n">
        <f aca="false">IF(N8=0,0,N149/N8)</f>
        <v>-0.00463626739596741</v>
      </c>
      <c r="O157" s="123" t="n">
        <f aca="false">IF(O8=0,0,O149/O8)</f>
        <v>0.00302879284836723</v>
      </c>
      <c r="P157" s="123" t="n">
        <f aca="false">IF(P8=0,0,P149/P8)</f>
        <v>0.00034004724252405</v>
      </c>
    </row>
  </sheetData>
  <conditionalFormatting sqref="C155:P155">
    <cfRule type="expression" priority="2" aboveAverage="0" equalAverage="0" bottom="0" percent="0" rank="0" text="" dxfId="3">
      <formula>C155="未達"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14" min="3" style="0" width="10.51"/>
    <col collapsed="false" customWidth="true" hidden="false" outlineLevel="0" max="16" min="15" style="0" width="12"/>
    <col collapsed="false" customWidth="true" hidden="false" outlineLevel="0" max="17" min="17" style="0" width="46"/>
  </cols>
  <sheetData>
    <row r="1" customFormat="false" ht="19.4" hidden="false" customHeight="false" outlineLevel="0" collapsed="false">
      <c r="B1" s="64" t="s">
        <v>457</v>
      </c>
    </row>
    <row r="2" customFormat="false" ht="15" hidden="false" customHeight="false" outlineLevel="0" collapsed="false">
      <c r="B2" s="14" t="s">
        <v>458</v>
      </c>
    </row>
    <row r="4" customFormat="false" ht="30" hidden="false" customHeight="true" outlineLevel="0" collapsed="false">
      <c r="B4" s="27" t="s">
        <v>315</v>
      </c>
      <c r="C4" s="26" t="s">
        <v>316</v>
      </c>
      <c r="D4" s="26" t="s">
        <v>317</v>
      </c>
      <c r="E4" s="26" t="s">
        <v>318</v>
      </c>
      <c r="F4" s="26" t="s">
        <v>319</v>
      </c>
      <c r="G4" s="26" t="s">
        <v>320</v>
      </c>
      <c r="H4" s="26" t="s">
        <v>321</v>
      </c>
      <c r="I4" s="26" t="s">
        <v>39</v>
      </c>
      <c r="J4" s="26" t="s">
        <v>40</v>
      </c>
      <c r="K4" s="26" t="s">
        <v>41</v>
      </c>
      <c r="L4" s="26" t="s">
        <v>42</v>
      </c>
      <c r="M4" s="26" t="s">
        <v>43</v>
      </c>
      <c r="N4" s="26" t="s">
        <v>44</v>
      </c>
      <c r="O4" s="26" t="s">
        <v>459</v>
      </c>
      <c r="P4" s="27" t="s">
        <v>423</v>
      </c>
    </row>
    <row r="5" customFormat="false" ht="15" hidden="false" customHeight="false" outlineLevel="0" collapsed="false">
      <c r="B5" s="104" t="s">
        <v>460</v>
      </c>
      <c r="C5" s="124" t="s">
        <v>461</v>
      </c>
      <c r="D5" s="124" t="s">
        <v>461</v>
      </c>
      <c r="E5" s="124" t="s">
        <v>461</v>
      </c>
      <c r="F5" s="125" t="s">
        <v>46</v>
      </c>
      <c r="G5" s="125" t="s">
        <v>46</v>
      </c>
      <c r="H5" s="125" t="s">
        <v>46</v>
      </c>
      <c r="I5" s="125" t="s">
        <v>46</v>
      </c>
      <c r="J5" s="125" t="s">
        <v>46</v>
      </c>
      <c r="K5" s="125" t="s">
        <v>46</v>
      </c>
      <c r="L5" s="125" t="s">
        <v>46</v>
      </c>
      <c r="M5" s="125" t="s">
        <v>46</v>
      </c>
      <c r="N5" s="125" t="s">
        <v>46</v>
      </c>
    </row>
    <row r="7" customFormat="false" ht="15" hidden="false" customHeight="false" outlineLevel="0" collapsed="false">
      <c r="B7" s="21" t="s">
        <v>462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false" outlineLevel="0" collapsed="false">
      <c r="B8" s="12" t="s">
        <v>323</v>
      </c>
      <c r="C8" s="106" t="n">
        <f aca="false">'実績原本_白鳥惣菜_7-9月'!B4</f>
        <v>859016.86</v>
      </c>
      <c r="D8" s="106" t="n">
        <f aca="false">'実績原本_白鳥惣菜_7-9月'!C4</f>
        <v>980922.579</v>
      </c>
      <c r="E8" s="106" t="n">
        <f aca="false">'実績原本_白鳥惣菜_7-9月'!D4</f>
        <v>810842.501</v>
      </c>
      <c r="F8" s="106" t="n">
        <f aca="false">予算原本_白鳥惣菜!E4</f>
        <v>772524.471</v>
      </c>
      <c r="G8" s="106" t="n">
        <f aca="false">予算原本_白鳥惣菜!F4</f>
        <v>750295.52</v>
      </c>
      <c r="H8" s="106" t="n">
        <f aca="false">予算原本_白鳥惣菜!G4</f>
        <v>847205.75</v>
      </c>
      <c r="I8" s="106" t="n">
        <f aca="false">予算原本_白鳥惣菜!H4</f>
        <v>770219.863</v>
      </c>
      <c r="J8" s="106" t="n">
        <f aca="false">予算原本_白鳥惣菜!I4</f>
        <v>729600</v>
      </c>
      <c r="K8" s="106" t="n">
        <f aca="false">予算原本_白鳥惣菜!J4</f>
        <v>826500</v>
      </c>
      <c r="L8" s="106" t="n">
        <f aca="false">予算原本_白鳥惣菜!K4</f>
        <v>792000</v>
      </c>
      <c r="M8" s="106" t="n">
        <f aca="false">予算原本_白鳥惣菜!L4</f>
        <v>802000</v>
      </c>
      <c r="N8" s="106" t="n">
        <f aca="false">予算原本_白鳥惣菜!M4</f>
        <v>777000</v>
      </c>
      <c r="O8" s="93" t="n">
        <f aca="false">SUM(C8:N8)</f>
        <v>9718127.544</v>
      </c>
      <c r="P8" s="93" t="n">
        <f aca="false">SUM(I8:N8)</f>
        <v>4697319.863</v>
      </c>
    </row>
    <row r="9" customFormat="false" ht="15" hidden="false" customHeight="false" outlineLevel="0" collapsed="false">
      <c r="B9" s="12" t="s">
        <v>324</v>
      </c>
      <c r="C9" s="106" t="n">
        <f aca="false">'実績原本_白鳥惣菜_7-9月'!B5</f>
        <v>243490.299333702</v>
      </c>
      <c r="D9" s="106" t="n">
        <f aca="false">'実績原本_白鳥惣菜_7-9月'!C5</f>
        <v>282030.255474603</v>
      </c>
      <c r="E9" s="106" t="n">
        <f aca="false">'実績原本_白鳥惣菜_7-9月'!D5</f>
        <v>246956.759713984</v>
      </c>
      <c r="F9" s="106" t="n">
        <f aca="false">予算原本_白鳥惣菜!E5</f>
        <v>219664.471</v>
      </c>
      <c r="G9" s="106" t="n">
        <f aca="false">予算原本_白鳥惣菜!F5</f>
        <v>213231.52</v>
      </c>
      <c r="H9" s="106" t="n">
        <f aca="false">予算原本_白鳥惣菜!G5</f>
        <v>240495.75</v>
      </c>
      <c r="I9" s="106" t="n">
        <f aca="false">予算原本_白鳥惣菜!H5</f>
        <v>218795.863</v>
      </c>
      <c r="J9" s="106" t="n">
        <f aca="false">予算原本_白鳥惣菜!I5</f>
        <v>207111.4</v>
      </c>
      <c r="K9" s="106" t="n">
        <f aca="false">予算原本_白鳥惣菜!J5</f>
        <v>234509</v>
      </c>
      <c r="L9" s="106" t="n">
        <f aca="false">予算原本_白鳥惣菜!K5</f>
        <v>224780</v>
      </c>
      <c r="M9" s="106" t="n">
        <f aca="false">予算原本_白鳥惣菜!L5</f>
        <v>227600</v>
      </c>
      <c r="N9" s="106" t="n">
        <f aca="false">予算原本_白鳥惣菜!M5</f>
        <v>219247.2686</v>
      </c>
      <c r="O9" s="93" t="n">
        <f aca="false">SUM(C9:N9)</f>
        <v>2777912.58712229</v>
      </c>
      <c r="P9" s="93" t="n">
        <f aca="false">SUM(I9:N9)</f>
        <v>1332043.5316</v>
      </c>
    </row>
    <row r="10" customFormat="false" ht="15" hidden="false" customHeight="false" outlineLevel="0" collapsed="false">
      <c r="B10" s="5" t="s">
        <v>325</v>
      </c>
      <c r="C10" s="107" t="n">
        <f aca="false">'実績原本_白鳥惣菜_7-9月'!B6</f>
        <v>0.283452293746251</v>
      </c>
      <c r="D10" s="107" t="n">
        <f aca="false">'実績原本_白鳥惣菜_7-9月'!C6</f>
        <v>0.287515306011324</v>
      </c>
      <c r="E10" s="107" t="n">
        <f aca="false">'実績原本_白鳥惣菜_7-9月'!D6</f>
        <v>0.304568099735048</v>
      </c>
      <c r="F10" s="107" t="n">
        <f aca="false">予算原本_白鳥惣菜!E6</f>
        <v>0.284346294837306</v>
      </c>
      <c r="G10" s="107" t="n">
        <f aca="false">予算原本_白鳥惣菜!F6</f>
        <v>0.284196712250128</v>
      </c>
      <c r="H10" s="107" t="n">
        <f aca="false">予算原本_白鳥惣菜!G6</f>
        <v>0.283869355230415</v>
      </c>
      <c r="I10" s="107" t="n">
        <f aca="false">予算原本_白鳥惣菜!H6</f>
        <v>0.284069359296697</v>
      </c>
      <c r="J10" s="107" t="n">
        <f aca="false">予算原本_白鳥惣菜!I6</f>
        <v>0.283869791666667</v>
      </c>
      <c r="K10" s="107" t="n">
        <f aca="false">予算原本_白鳥惣菜!J6</f>
        <v>0.283737447065941</v>
      </c>
      <c r="L10" s="107" t="n">
        <f aca="false">予算原本_白鳥惣菜!K6</f>
        <v>0.283813131313131</v>
      </c>
      <c r="M10" s="107" t="n">
        <f aca="false">予算原本_白鳥惣菜!L6</f>
        <v>0.283790523690773</v>
      </c>
      <c r="N10" s="107" t="n">
        <f aca="false">予算原本_白鳥惣菜!M6</f>
        <v>0.282171516859717</v>
      </c>
      <c r="O10" s="108" t="n">
        <f aca="false">IF(O8=0,0,O9/O8)</f>
        <v>0.285848541763313</v>
      </c>
      <c r="P10" s="108" t="n">
        <f aca="false">IF(P8=0,0,P9/P8)</f>
        <v>0.283575223840361</v>
      </c>
    </row>
    <row r="11" customFormat="false" ht="15" hidden="true" customHeight="false" outlineLevel="1" collapsed="false">
      <c r="B11" s="5" t="s">
        <v>326</v>
      </c>
      <c r="C11" s="34" t="n">
        <f aca="false">'実績原本_白鳥惣菜_7-9月'!B7</f>
        <v>856552.097</v>
      </c>
      <c r="D11" s="34" t="n">
        <f aca="false">'実績原本_白鳥惣菜_7-9月'!C7</f>
        <v>978185.97</v>
      </c>
      <c r="E11" s="34" t="n">
        <f aca="false">'実績原本_白鳥惣菜_7-9月'!D7</f>
        <v>808524.623</v>
      </c>
      <c r="F11" s="34" t="n">
        <f aca="false">予算原本_白鳥惣菜!E7</f>
        <v>770000</v>
      </c>
      <c r="G11" s="34" t="n">
        <f aca="false">予算原本_白鳥惣菜!F7</f>
        <v>748000</v>
      </c>
      <c r="H11" s="34" t="n">
        <f aca="false">予算原本_白鳥惣菜!G7</f>
        <v>845000</v>
      </c>
      <c r="I11" s="34" t="n">
        <f aca="false">予算原本_白鳥惣菜!H7</f>
        <v>768000</v>
      </c>
      <c r="J11" s="34" t="n">
        <f aca="false">予算原本_白鳥惣菜!I7</f>
        <v>727700</v>
      </c>
      <c r="K11" s="34" t="n">
        <f aca="false">予算原本_白鳥惣菜!J7</f>
        <v>824500</v>
      </c>
      <c r="L11" s="34" t="n">
        <f aca="false">予算原本_白鳥惣菜!K7</f>
        <v>790000</v>
      </c>
      <c r="M11" s="34" t="n">
        <f aca="false">予算原本_白鳥惣菜!L7</f>
        <v>800000</v>
      </c>
      <c r="N11" s="34" t="n">
        <f aca="false">予算原本_白鳥惣菜!M7</f>
        <v>775000</v>
      </c>
      <c r="O11" s="93" t="n">
        <f aca="false">SUM(C11:N11)</f>
        <v>9691462.69</v>
      </c>
      <c r="P11" s="93" t="n">
        <f aca="false">SUM(I11:N11)</f>
        <v>4685200</v>
      </c>
    </row>
    <row r="12" customFormat="false" ht="15" hidden="true" customHeight="false" outlineLevel="1" collapsed="false">
      <c r="B12" s="5" t="s">
        <v>327</v>
      </c>
      <c r="C12" s="34" t="n">
        <f aca="false">'実績原本_白鳥惣菜_7-9月'!B8</f>
        <v>231367.23593</v>
      </c>
      <c r="D12" s="34" t="n">
        <f aca="false">'実績原本_白鳥惣菜_7-9月'!C8</f>
        <v>268948.58745</v>
      </c>
      <c r="E12" s="34" t="n">
        <f aca="false">'実績原本_白鳥惣菜_7-9月'!D8</f>
        <v>235658.63036</v>
      </c>
      <c r="F12" s="34" t="n">
        <f aca="false">予算原本_白鳥惣菜!E8</f>
        <v>209440</v>
      </c>
      <c r="G12" s="34" t="n">
        <f aca="false">予算原本_白鳥惣菜!F8</f>
        <v>203456</v>
      </c>
      <c r="H12" s="34" t="n">
        <f aca="false">予算原本_白鳥惣菜!G8</f>
        <v>229840</v>
      </c>
      <c r="I12" s="34" t="n">
        <f aca="false">予算原本_白鳥惣菜!H8</f>
        <v>208896</v>
      </c>
      <c r="J12" s="34" t="n">
        <f aca="false">予算原本_白鳥惣菜!I8</f>
        <v>197934.4</v>
      </c>
      <c r="K12" s="34" t="n">
        <f aca="false">予算原本_白鳥惣菜!J8</f>
        <v>224264</v>
      </c>
      <c r="L12" s="34" t="n">
        <f aca="false">予算原本_白鳥惣菜!K8</f>
        <v>214880</v>
      </c>
      <c r="M12" s="34" t="n">
        <f aca="false">予算原本_白鳥惣菜!L8</f>
        <v>217600</v>
      </c>
      <c r="N12" s="34" t="n">
        <f aca="false">予算原本_白鳥惣菜!M8</f>
        <v>210800</v>
      </c>
      <c r="O12" s="93" t="n">
        <f aca="false">SUM(C12:N12)</f>
        <v>2653084.85374</v>
      </c>
      <c r="P12" s="93" t="n">
        <f aca="false">SUM(I12:N12)</f>
        <v>1274374.4</v>
      </c>
    </row>
    <row r="13" customFormat="false" ht="15" hidden="true" customHeight="false" outlineLevel="1" collapsed="false">
      <c r="B13" s="5" t="s">
        <v>328</v>
      </c>
      <c r="C13" s="107" t="n">
        <f aca="false">'実績原本_白鳥惣菜_7-9月'!B9</f>
        <v>0.270114610355101</v>
      </c>
      <c r="D13" s="107" t="n">
        <f aca="false">'実績原本_白鳥惣菜_7-9月'!C9</f>
        <v>0.274946273713167</v>
      </c>
      <c r="E13" s="107" t="n">
        <f aca="false">'実績原本_白鳥惣菜_7-9月'!D9</f>
        <v>0.29146747502333</v>
      </c>
      <c r="F13" s="107" t="n">
        <f aca="false">予算原本_白鳥惣菜!E9</f>
        <v>0.272</v>
      </c>
      <c r="G13" s="107" t="n">
        <f aca="false">予算原本_白鳥惣菜!F9</f>
        <v>0.272</v>
      </c>
      <c r="H13" s="107" t="n">
        <f aca="false">予算原本_白鳥惣菜!G9</f>
        <v>0.272</v>
      </c>
      <c r="I13" s="107" t="n">
        <f aca="false">予算原本_白鳥惣菜!H9</f>
        <v>0.272</v>
      </c>
      <c r="J13" s="107" t="n">
        <f aca="false">予算原本_白鳥惣菜!I9</f>
        <v>0.272</v>
      </c>
      <c r="K13" s="107" t="n">
        <f aca="false">予算原本_白鳥惣菜!J9</f>
        <v>0.272</v>
      </c>
      <c r="L13" s="107" t="n">
        <f aca="false">予算原本_白鳥惣菜!K9</f>
        <v>0.272</v>
      </c>
      <c r="M13" s="107" t="n">
        <f aca="false">予算原本_白鳥惣菜!L9</f>
        <v>0.272</v>
      </c>
      <c r="N13" s="107" t="n">
        <f aca="false">予算原本_白鳥惣菜!M9</f>
        <v>0.272</v>
      </c>
      <c r="O13" s="108" t="n">
        <f aca="false">IF(O11=0,0,O12/O11)</f>
        <v>0.273754843680877</v>
      </c>
      <c r="P13" s="108" t="n">
        <f aca="false">IF(P11=0,0,P12/P11)</f>
        <v>0.272</v>
      </c>
    </row>
    <row r="14" customFormat="false" ht="15" hidden="true" customHeight="false" outlineLevel="1" collapsed="false">
      <c r="B14" s="5" t="s">
        <v>329</v>
      </c>
      <c r="C14" s="34" t="n">
        <f aca="false">'実績原本_白鳥惣菜_7-9月'!B10</f>
        <v>2464.763</v>
      </c>
      <c r="D14" s="34" t="n">
        <f aca="false">'実績原本_白鳥惣菜_7-9月'!C10</f>
        <v>2736.609</v>
      </c>
      <c r="E14" s="34" t="n">
        <f aca="false">'実績原本_白鳥惣菜_7-9月'!D10</f>
        <v>2317.878</v>
      </c>
      <c r="F14" s="34" t="n">
        <f aca="false">予算原本_白鳥惣菜!E10</f>
        <v>2524.471</v>
      </c>
      <c r="G14" s="34" t="n">
        <f aca="false">予算原本_白鳥惣菜!F10</f>
        <v>2295.52</v>
      </c>
      <c r="H14" s="34" t="n">
        <f aca="false">予算原本_白鳥惣菜!G10</f>
        <v>2205.75</v>
      </c>
      <c r="I14" s="34" t="n">
        <f aca="false">予算原本_白鳥惣菜!H10</f>
        <v>2219.863</v>
      </c>
      <c r="J14" s="34" t="n">
        <f aca="false">予算原本_白鳥惣菜!I10</f>
        <v>1900</v>
      </c>
      <c r="K14" s="34" t="n">
        <f aca="false">予算原本_白鳥惣菜!J10</f>
        <v>2000</v>
      </c>
      <c r="L14" s="34" t="n">
        <f aca="false">予算原本_白鳥惣菜!K10</f>
        <v>2000</v>
      </c>
      <c r="M14" s="34" t="n">
        <f aca="false">予算原本_白鳥惣菜!L10</f>
        <v>2000</v>
      </c>
      <c r="N14" s="34" t="n">
        <f aca="false">予算原本_白鳥惣菜!M10</f>
        <v>2000</v>
      </c>
      <c r="O14" s="93" t="n">
        <f aca="false">SUM(C14:N14)</f>
        <v>26664.854</v>
      </c>
      <c r="P14" s="93" t="n">
        <f aca="false">SUM(I14:N14)</f>
        <v>12119.863</v>
      </c>
    </row>
    <row r="15" customFormat="false" ht="15" hidden="true" customHeight="false" outlineLevel="1" collapsed="false">
      <c r="B15" s="5" t="s">
        <v>330</v>
      </c>
      <c r="C15" s="34" t="n">
        <f aca="false">'実績原本_白鳥惣菜_7-9月'!B11</f>
        <v>2464.763</v>
      </c>
      <c r="D15" s="34" t="n">
        <f aca="false">'実績原本_白鳥惣菜_7-9月'!C11</f>
        <v>2736.609</v>
      </c>
      <c r="E15" s="34" t="n">
        <f aca="false">'実績原本_白鳥惣菜_7-9月'!D11</f>
        <v>2317.878</v>
      </c>
      <c r="F15" s="34" t="n">
        <f aca="false">予算原本_白鳥惣菜!E11</f>
        <v>2524.471</v>
      </c>
      <c r="G15" s="34" t="n">
        <f aca="false">予算原本_白鳥惣菜!F11</f>
        <v>2295.52</v>
      </c>
      <c r="H15" s="34" t="n">
        <f aca="false">予算原本_白鳥惣菜!G11</f>
        <v>2205.75</v>
      </c>
      <c r="I15" s="34" t="n">
        <f aca="false">予算原本_白鳥惣菜!H11</f>
        <v>2219.863</v>
      </c>
      <c r="J15" s="34" t="n">
        <f aca="false">予算原本_白鳥惣菜!I11</f>
        <v>1900</v>
      </c>
      <c r="K15" s="34" t="n">
        <f aca="false">予算原本_白鳥惣菜!J11</f>
        <v>2000</v>
      </c>
      <c r="L15" s="34" t="n">
        <f aca="false">予算原本_白鳥惣菜!K11</f>
        <v>2000</v>
      </c>
      <c r="M15" s="34" t="n">
        <f aca="false">予算原本_白鳥惣菜!L11</f>
        <v>2000</v>
      </c>
      <c r="N15" s="34" t="n">
        <f aca="false">予算原本_白鳥惣菜!M11</f>
        <v>2000</v>
      </c>
      <c r="O15" s="93" t="n">
        <f aca="false">SUM(C15:N15)</f>
        <v>26664.854</v>
      </c>
      <c r="P15" s="93" t="n">
        <f aca="false">SUM(I15:N15)</f>
        <v>12119.863</v>
      </c>
    </row>
    <row r="16" customFormat="false" ht="15" hidden="true" customHeight="false" outlineLevel="1" collapsed="false">
      <c r="B16" s="5" t="s">
        <v>328</v>
      </c>
      <c r="C16" s="107" t="n">
        <f aca="false">'実績原本_白鳥惣菜_7-9月'!B12</f>
        <v>1</v>
      </c>
      <c r="D16" s="107" t="n">
        <f aca="false">'実績原本_白鳥惣菜_7-9月'!C12</f>
        <v>1</v>
      </c>
      <c r="E16" s="107" t="n">
        <f aca="false">'実績原本_白鳥惣菜_7-9月'!D12</f>
        <v>1</v>
      </c>
      <c r="F16" s="107" t="n">
        <f aca="false">予算原本_白鳥惣菜!E12</f>
        <v>1</v>
      </c>
      <c r="G16" s="107" t="n">
        <f aca="false">予算原本_白鳥惣菜!F12</f>
        <v>1</v>
      </c>
      <c r="H16" s="107" t="n">
        <f aca="false">予算原本_白鳥惣菜!G12</f>
        <v>1</v>
      </c>
      <c r="I16" s="107" t="n">
        <f aca="false">予算原本_白鳥惣菜!H12</f>
        <v>1</v>
      </c>
      <c r="J16" s="107" t="n">
        <f aca="false">予算原本_白鳥惣菜!I12</f>
        <v>1</v>
      </c>
      <c r="K16" s="107" t="n">
        <f aca="false">予算原本_白鳥惣菜!J12</f>
        <v>1</v>
      </c>
      <c r="L16" s="107" t="n">
        <f aca="false">予算原本_白鳥惣菜!K12</f>
        <v>1</v>
      </c>
      <c r="M16" s="107" t="n">
        <f aca="false">予算原本_白鳥惣菜!L12</f>
        <v>1</v>
      </c>
      <c r="N16" s="107" t="n">
        <f aca="false">予算原本_白鳥惣菜!M12</f>
        <v>1</v>
      </c>
      <c r="O16" s="108" t="n">
        <f aca="false">IF(O14=0,0,O15/O14)</f>
        <v>1</v>
      </c>
      <c r="P16" s="108" t="n">
        <f aca="false">IF(P14=0,0,P15/P14)</f>
        <v>1</v>
      </c>
    </row>
    <row r="17" customFormat="false" ht="15" hidden="true" customHeight="false" outlineLevel="1" collapsed="false">
      <c r="B17" s="5" t="s">
        <v>331</v>
      </c>
      <c r="C17" s="34" t="n">
        <f aca="false">'実績原本_白鳥惣菜_7-9月'!B13</f>
        <v>0</v>
      </c>
      <c r="D17" s="34" t="n">
        <f aca="false">'実績原本_白鳥惣菜_7-9月'!C13</f>
        <v>0</v>
      </c>
      <c r="E17" s="34" t="n">
        <f aca="false">'実績原本_白鳥惣菜_7-9月'!D13</f>
        <v>0</v>
      </c>
      <c r="F17" s="34" t="n">
        <f aca="false">予算原本_白鳥惣菜!E13</f>
        <v>0</v>
      </c>
      <c r="G17" s="34" t="n">
        <f aca="false">予算原本_白鳥惣菜!F13</f>
        <v>0</v>
      </c>
      <c r="H17" s="34" t="n">
        <f aca="false">予算原本_白鳥惣菜!G13</f>
        <v>0</v>
      </c>
      <c r="I17" s="34" t="n">
        <f aca="false">予算原本_白鳥惣菜!H13</f>
        <v>0</v>
      </c>
      <c r="J17" s="34" t="n">
        <f aca="false">予算原本_白鳥惣菜!I13</f>
        <v>0</v>
      </c>
      <c r="K17" s="34" t="n">
        <f aca="false">予算原本_白鳥惣菜!J13</f>
        <v>0</v>
      </c>
      <c r="L17" s="34" t="n">
        <f aca="false">予算原本_白鳥惣菜!K13</f>
        <v>0</v>
      </c>
      <c r="M17" s="34" t="n">
        <f aca="false">予算原本_白鳥惣菜!L13</f>
        <v>0</v>
      </c>
      <c r="N17" s="34" t="n">
        <f aca="false">予算原本_白鳥惣菜!M13</f>
        <v>0</v>
      </c>
      <c r="O17" s="93" t="n">
        <f aca="false">SUM(C17:N17)</f>
        <v>0</v>
      </c>
      <c r="P17" s="93" t="n">
        <f aca="false">SUM(I17:N17)</f>
        <v>0</v>
      </c>
    </row>
    <row r="18" customFormat="false" ht="15" hidden="true" customHeight="false" outlineLevel="1" collapsed="false">
      <c r="B18" s="5" t="s">
        <v>332</v>
      </c>
      <c r="C18" s="34" t="n">
        <f aca="false">'実績原本_白鳥惣菜_7-9月'!B14</f>
        <v>0</v>
      </c>
      <c r="D18" s="34" t="n">
        <f aca="false">'実績原本_白鳥惣菜_7-9月'!C14</f>
        <v>0</v>
      </c>
      <c r="E18" s="34" t="n">
        <f aca="false">'実績原本_白鳥惣菜_7-9月'!D14</f>
        <v>0</v>
      </c>
      <c r="F18" s="34" t="n">
        <f aca="false">予算原本_白鳥惣菜!E14</f>
        <v>0</v>
      </c>
      <c r="G18" s="34" t="n">
        <f aca="false">予算原本_白鳥惣菜!F14</f>
        <v>0</v>
      </c>
      <c r="H18" s="34" t="n">
        <f aca="false">予算原本_白鳥惣菜!G14</f>
        <v>0</v>
      </c>
      <c r="I18" s="34" t="n">
        <f aca="false">予算原本_白鳥惣菜!H14</f>
        <v>0</v>
      </c>
      <c r="J18" s="34" t="n">
        <f aca="false">予算原本_白鳥惣菜!I14</f>
        <v>0</v>
      </c>
      <c r="K18" s="34" t="n">
        <f aca="false">予算原本_白鳥惣菜!J14</f>
        <v>0</v>
      </c>
      <c r="L18" s="34" t="n">
        <f aca="false">予算原本_白鳥惣菜!K14</f>
        <v>0</v>
      </c>
      <c r="M18" s="34" t="n">
        <f aca="false">予算原本_白鳥惣菜!L14</f>
        <v>0</v>
      </c>
      <c r="N18" s="34" t="n">
        <f aca="false">予算原本_白鳥惣菜!M14</f>
        <v>0</v>
      </c>
      <c r="O18" s="93" t="n">
        <f aca="false">SUM(C18:N18)</f>
        <v>0</v>
      </c>
      <c r="P18" s="93" t="n">
        <f aca="false">SUM(I18:N18)</f>
        <v>0</v>
      </c>
    </row>
    <row r="19" customFormat="false" ht="15" hidden="true" customHeight="false" outlineLevel="1" collapsed="false">
      <c r="B19" s="5" t="s">
        <v>328</v>
      </c>
      <c r="C19" s="107" t="n">
        <f aca="false">'実績原本_白鳥惣菜_7-9月'!B15</f>
        <v>0</v>
      </c>
      <c r="D19" s="107" t="n">
        <f aca="false">'実績原本_白鳥惣菜_7-9月'!C15</f>
        <v>0</v>
      </c>
      <c r="E19" s="107" t="n">
        <f aca="false">'実績原本_白鳥惣菜_7-9月'!D15</f>
        <v>0</v>
      </c>
      <c r="F19" s="107" t="n">
        <f aca="false">予算原本_白鳥惣菜!E15</f>
        <v>0</v>
      </c>
      <c r="G19" s="107" t="n">
        <f aca="false">予算原本_白鳥惣菜!F15</f>
        <v>0</v>
      </c>
      <c r="H19" s="107" t="n">
        <f aca="false">予算原本_白鳥惣菜!G15</f>
        <v>0</v>
      </c>
      <c r="I19" s="107" t="n">
        <f aca="false">予算原本_白鳥惣菜!H15</f>
        <v>0</v>
      </c>
      <c r="J19" s="107" t="n">
        <f aca="false">予算原本_白鳥惣菜!I15</f>
        <v>0</v>
      </c>
      <c r="K19" s="107" t="n">
        <f aca="false">予算原本_白鳥惣菜!J15</f>
        <v>0</v>
      </c>
      <c r="L19" s="107" t="n">
        <f aca="false">予算原本_白鳥惣菜!K15</f>
        <v>0</v>
      </c>
      <c r="M19" s="107" t="n">
        <f aca="false">予算原本_白鳥惣菜!L15</f>
        <v>0</v>
      </c>
      <c r="N19" s="107" t="n">
        <f aca="false">予算原本_白鳥惣菜!M15</f>
        <v>0</v>
      </c>
      <c r="O19" s="108" t="n">
        <f aca="false">IF(O17=0,0,O18/O17)</f>
        <v>0</v>
      </c>
      <c r="P19" s="108" t="n">
        <f aca="false">IF(P17=0,0,P18/P17)</f>
        <v>0</v>
      </c>
    </row>
    <row r="20" customFormat="false" ht="15" hidden="true" customHeight="false" outlineLevel="1" collapsed="false">
      <c r="B20" s="5" t="s">
        <v>333</v>
      </c>
      <c r="C20" s="34" t="n">
        <f aca="false">'実績原本_白鳥惣菜_7-9月'!B16</f>
        <v>0</v>
      </c>
      <c r="D20" s="34" t="n">
        <f aca="false">'実績原本_白鳥惣菜_7-9月'!C16</f>
        <v>0</v>
      </c>
      <c r="E20" s="34" t="n">
        <f aca="false">'実績原本_白鳥惣菜_7-9月'!D16</f>
        <v>0</v>
      </c>
      <c r="F20" s="34" t="n">
        <f aca="false">予算原本_白鳥惣菜!E16</f>
        <v>0</v>
      </c>
      <c r="G20" s="34" t="n">
        <f aca="false">予算原本_白鳥惣菜!F16</f>
        <v>0</v>
      </c>
      <c r="H20" s="34" t="n">
        <f aca="false">予算原本_白鳥惣菜!G16</f>
        <v>0</v>
      </c>
      <c r="I20" s="34" t="n">
        <f aca="false">予算原本_白鳥惣菜!H16</f>
        <v>0</v>
      </c>
      <c r="J20" s="34" t="n">
        <f aca="false">予算原本_白鳥惣菜!I16</f>
        <v>0</v>
      </c>
      <c r="K20" s="34" t="n">
        <f aca="false">予算原本_白鳥惣菜!J16</f>
        <v>0</v>
      </c>
      <c r="L20" s="34" t="n">
        <f aca="false">予算原本_白鳥惣菜!K16</f>
        <v>0</v>
      </c>
      <c r="M20" s="34" t="n">
        <f aca="false">予算原本_白鳥惣菜!L16</f>
        <v>0</v>
      </c>
      <c r="N20" s="34" t="n">
        <f aca="false">予算原本_白鳥惣菜!M16</f>
        <v>0</v>
      </c>
      <c r="O20" s="93" t="n">
        <f aca="false">SUM(C20:N20)</f>
        <v>0</v>
      </c>
      <c r="P20" s="93" t="n">
        <f aca="false">SUM(I20:N20)</f>
        <v>0</v>
      </c>
    </row>
    <row r="21" customFormat="false" ht="15" hidden="true" customHeight="false" outlineLevel="1" collapsed="false">
      <c r="B21" s="5" t="s">
        <v>334</v>
      </c>
      <c r="C21" s="34" t="n">
        <f aca="false">'実績原本_白鳥惣菜_7-9月'!B17</f>
        <v>9658.30040370242</v>
      </c>
      <c r="D21" s="34" t="n">
        <f aca="false">'実績原本_白鳥惣菜_7-9月'!C17</f>
        <v>10345.0590246025</v>
      </c>
      <c r="E21" s="34" t="n">
        <f aca="false">'実績原本_白鳥惣菜_7-9月'!D17</f>
        <v>8980.25135398415</v>
      </c>
      <c r="F21" s="34" t="n">
        <f aca="false">予算原本_白鳥惣菜!E17</f>
        <v>7700</v>
      </c>
      <c r="G21" s="34" t="n">
        <f aca="false">予算原本_白鳥惣菜!F17</f>
        <v>7480</v>
      </c>
      <c r="H21" s="34" t="n">
        <f aca="false">予算原本_白鳥惣菜!G17</f>
        <v>8450</v>
      </c>
      <c r="I21" s="34" t="n">
        <f aca="false">予算原本_白鳥惣菜!H17</f>
        <v>7680</v>
      </c>
      <c r="J21" s="34" t="n">
        <f aca="false">予算原本_白鳥惣菜!I17</f>
        <v>7277</v>
      </c>
      <c r="K21" s="34" t="n">
        <f aca="false">予算原本_白鳥惣菜!J17</f>
        <v>8245</v>
      </c>
      <c r="L21" s="34" t="n">
        <f aca="false">予算原本_白鳥惣菜!K17</f>
        <v>7900</v>
      </c>
      <c r="M21" s="34" t="n">
        <f aca="false">予算原本_白鳥惣菜!L17</f>
        <v>8000</v>
      </c>
      <c r="N21" s="34" t="n">
        <f aca="false">予算原本_白鳥惣菜!M17</f>
        <v>6447.2686</v>
      </c>
      <c r="O21" s="93" t="n">
        <f aca="false">SUM(C21:N21)</f>
        <v>98162.8793822891</v>
      </c>
      <c r="P21" s="93" t="n">
        <f aca="false">SUM(I21:N21)</f>
        <v>45549.2686</v>
      </c>
    </row>
    <row r="22" customFormat="false" ht="15" hidden="true" customHeight="false" outlineLevel="1" collapsed="false">
      <c r="B22" s="5" t="s">
        <v>328</v>
      </c>
      <c r="C22" s="107" t="n">
        <f aca="false">'実績原本_白鳥惣菜_7-9月'!B18</f>
        <v>0</v>
      </c>
      <c r="D22" s="107" t="n">
        <f aca="false">'実績原本_白鳥惣菜_7-9月'!C18</f>
        <v>0</v>
      </c>
      <c r="E22" s="107" t="n">
        <f aca="false">'実績原本_白鳥惣菜_7-9月'!D18</f>
        <v>0</v>
      </c>
      <c r="F22" s="107" t="n">
        <f aca="false">予算原本_白鳥惣菜!E18</f>
        <v>0</v>
      </c>
      <c r="G22" s="107" t="n">
        <f aca="false">予算原本_白鳥惣菜!F18</f>
        <v>0</v>
      </c>
      <c r="H22" s="107" t="n">
        <f aca="false">予算原本_白鳥惣菜!G18</f>
        <v>0</v>
      </c>
      <c r="I22" s="107" t="n">
        <f aca="false">予算原本_白鳥惣菜!H18</f>
        <v>0</v>
      </c>
      <c r="J22" s="107" t="n">
        <f aca="false">予算原本_白鳥惣菜!I18</f>
        <v>0</v>
      </c>
      <c r="K22" s="107" t="n">
        <f aca="false">予算原本_白鳥惣菜!J18</f>
        <v>0</v>
      </c>
      <c r="L22" s="107" t="n">
        <f aca="false">予算原本_白鳥惣菜!K18</f>
        <v>0</v>
      </c>
      <c r="M22" s="107" t="n">
        <f aca="false">予算原本_白鳥惣菜!L18</f>
        <v>0</v>
      </c>
      <c r="N22" s="107" t="n">
        <f aca="false">予算原本_白鳥惣菜!M18</f>
        <v>0</v>
      </c>
      <c r="O22" s="108" t="n">
        <f aca="false">IF(O20=0,0,O21/O20)</f>
        <v>0</v>
      </c>
      <c r="P22" s="108" t="n">
        <f aca="false">IF(P20=0,0,P21/P20)</f>
        <v>0</v>
      </c>
    </row>
    <row r="23" customFormat="false" ht="15" hidden="false" customHeight="false" outlineLevel="0" collapsed="false">
      <c r="B23" s="12" t="s">
        <v>335</v>
      </c>
      <c r="C23" s="106" t="n">
        <f aca="false">'実績原本_白鳥惣菜_7-9月'!B19</f>
        <v>159123.951333333</v>
      </c>
      <c r="D23" s="106" t="n">
        <f aca="false">'実績原本_白鳥惣菜_7-9月'!C19</f>
        <v>163148.189772727</v>
      </c>
      <c r="E23" s="106" t="n">
        <f aca="false">'実績原本_白鳥惣菜_7-9月'!D19</f>
        <v>164121.689</v>
      </c>
      <c r="F23" s="106" t="n">
        <f aca="false">予算原本_白鳥惣菜!E19</f>
        <v>140499</v>
      </c>
      <c r="G23" s="106" t="n">
        <f aca="false">予算原本_白鳥惣菜!F19</f>
        <v>133546</v>
      </c>
      <c r="H23" s="106" t="n">
        <f aca="false">予算原本_白鳥惣菜!G19</f>
        <v>144822</v>
      </c>
      <c r="I23" s="106" t="n">
        <f aca="false">予算原本_白鳥惣菜!H19</f>
        <v>144712</v>
      </c>
      <c r="J23" s="106" t="n">
        <f aca="false">予算原本_白鳥惣菜!I19</f>
        <v>135001</v>
      </c>
      <c r="K23" s="106" t="n">
        <f aca="false">予算原本_白鳥惣菜!J19</f>
        <v>143688</v>
      </c>
      <c r="L23" s="106" t="n">
        <f aca="false">予算原本_白鳥惣菜!K19</f>
        <v>139346</v>
      </c>
      <c r="M23" s="106" t="n">
        <f aca="false">予算原本_白鳥惣菜!L19</f>
        <v>144350</v>
      </c>
      <c r="N23" s="106" t="n">
        <f aca="false">予算原本_白鳥惣菜!M19</f>
        <v>142608</v>
      </c>
      <c r="O23" s="93" t="n">
        <f aca="false">SUM(C23:N23)</f>
        <v>1754965.83010606</v>
      </c>
      <c r="P23" s="93" t="n">
        <f aca="false">SUM(I23:N23)</f>
        <v>849705</v>
      </c>
    </row>
    <row r="24" customFormat="false" ht="15" hidden="false" customHeight="false" outlineLevel="1" collapsed="false">
      <c r="B24" s="5" t="s">
        <v>336</v>
      </c>
      <c r="C24" s="34" t="n">
        <f aca="false">'実績原本_白鳥惣菜_7-9月'!B20</f>
        <v>103680.972</v>
      </c>
      <c r="D24" s="34" t="n">
        <f aca="false">'実績原本_白鳥惣菜_7-9月'!C20</f>
        <v>118115.4015</v>
      </c>
      <c r="E24" s="34" t="n">
        <f aca="false">'実績原本_白鳥惣菜_7-9月'!D20</f>
        <v>112717.346</v>
      </c>
      <c r="F24" s="34" t="n">
        <f aca="false">予算原本_白鳥惣菜!E20</f>
        <v>96250</v>
      </c>
      <c r="G24" s="34" t="n">
        <f aca="false">予算原本_白鳥惣菜!F20</f>
        <v>86900</v>
      </c>
      <c r="H24" s="34" t="n">
        <f aca="false">予算原本_白鳥惣菜!G20</f>
        <v>94800</v>
      </c>
      <c r="I24" s="34" t="n">
        <f aca="false">予算原本_白鳥惣菜!H20</f>
        <v>99450</v>
      </c>
      <c r="J24" s="34" t="n">
        <f aca="false">予算原本_白鳥惣菜!I20</f>
        <v>90475</v>
      </c>
      <c r="K24" s="34" t="n">
        <f aca="false">予算原本_白鳥惣菜!J20</f>
        <v>96250</v>
      </c>
      <c r="L24" s="34" t="n">
        <f aca="false">予算原本_白鳥惣菜!K20</f>
        <v>95000</v>
      </c>
      <c r="M24" s="34" t="n">
        <f aca="false">予算原本_白鳥惣菜!L20</f>
        <v>95000</v>
      </c>
      <c r="N24" s="34" t="n">
        <f aca="false">予算原本_白鳥惣菜!M20</f>
        <v>97500</v>
      </c>
      <c r="O24" s="93" t="n">
        <f aca="false">SUM(C24:N24)</f>
        <v>1186138.7195</v>
      </c>
      <c r="P24" s="93" t="n">
        <f aca="false">SUM(I24:N24)</f>
        <v>573675</v>
      </c>
    </row>
    <row r="25" customFormat="false" ht="15" hidden="false" customHeight="false" outlineLevel="1" collapsed="false">
      <c r="B25" s="5" t="s">
        <v>337</v>
      </c>
      <c r="C25" s="34" t="n">
        <f aca="false">'実績原本_白鳥惣菜_7-9月'!B21</f>
        <v>0</v>
      </c>
      <c r="D25" s="34" t="n">
        <f aca="false">'実績原本_白鳥惣菜_7-9月'!C21</f>
        <v>0</v>
      </c>
      <c r="E25" s="34" t="n">
        <f aca="false">'実績原本_白鳥惣菜_7-9月'!D21</f>
        <v>0</v>
      </c>
      <c r="F25" s="34" t="n">
        <f aca="false">予算原本_白鳥惣菜!E21</f>
        <v>0</v>
      </c>
      <c r="G25" s="34" t="n">
        <f aca="false">予算原本_白鳥惣菜!F21</f>
        <v>0</v>
      </c>
      <c r="H25" s="34" t="n">
        <f aca="false">予算原本_白鳥惣菜!G21</f>
        <v>0</v>
      </c>
      <c r="I25" s="34" t="n">
        <f aca="false">予算原本_白鳥惣菜!H21</f>
        <v>0</v>
      </c>
      <c r="J25" s="34" t="n">
        <f aca="false">予算原本_白鳥惣菜!I21</f>
        <v>0</v>
      </c>
      <c r="K25" s="34" t="n">
        <f aca="false">予算原本_白鳥惣菜!J21</f>
        <v>0</v>
      </c>
      <c r="L25" s="34" t="n">
        <f aca="false">予算原本_白鳥惣菜!K21</f>
        <v>0</v>
      </c>
      <c r="M25" s="34" t="n">
        <f aca="false">予算原本_白鳥惣菜!L21</f>
        <v>0</v>
      </c>
      <c r="N25" s="34" t="n">
        <f aca="false">予算原本_白鳥惣菜!M21</f>
        <v>0</v>
      </c>
      <c r="O25" s="93" t="n">
        <f aca="false">SUM(C25:N25)</f>
        <v>0</v>
      </c>
      <c r="P25" s="93" t="n">
        <f aca="false">SUM(I25:N25)</f>
        <v>0</v>
      </c>
    </row>
    <row r="26" customFormat="false" ht="15" hidden="false" customHeight="false" outlineLevel="1" collapsed="false">
      <c r="B26" s="5" t="s">
        <v>338</v>
      </c>
      <c r="C26" s="34" t="n">
        <f aca="false">'実績原本_白鳥惣菜_7-9月'!B22</f>
        <v>19396.332</v>
      </c>
      <c r="D26" s="34" t="n">
        <f aca="false">'実績原本_白鳥惣菜_7-9月'!C22</f>
        <v>19221.482</v>
      </c>
      <c r="E26" s="34" t="n">
        <f aca="false">'実績原本_白鳥惣菜_7-9月'!D22</f>
        <v>17675.614</v>
      </c>
      <c r="F26" s="34" t="n">
        <f aca="false">予算原本_白鳥惣菜!E22</f>
        <v>18120</v>
      </c>
      <c r="G26" s="34" t="n">
        <f aca="false">予算原本_白鳥惣菜!F22</f>
        <v>18724</v>
      </c>
      <c r="H26" s="34" t="n">
        <f aca="false">予算原本_白鳥惣菜!G22</f>
        <v>20336</v>
      </c>
      <c r="I26" s="34" t="n">
        <f aca="false">予算原本_白鳥惣菜!H22</f>
        <v>18600</v>
      </c>
      <c r="J26" s="34" t="n">
        <f aca="false">予算原本_白鳥惣菜!I22</f>
        <v>18450</v>
      </c>
      <c r="K26" s="34" t="n">
        <f aca="false">予算原本_白鳥惣菜!J22</f>
        <v>19840</v>
      </c>
      <c r="L26" s="34" t="n">
        <f aca="false">予算原本_白鳥惣菜!K22</f>
        <v>18600</v>
      </c>
      <c r="M26" s="34" t="n">
        <f aca="false">予算原本_白鳥惣菜!L22</f>
        <v>19592</v>
      </c>
      <c r="N26" s="34" t="n">
        <f aca="false">予算原本_白鳥惣菜!M22</f>
        <v>18724</v>
      </c>
      <c r="O26" s="93" t="n">
        <f aca="false">SUM(C26:N26)</f>
        <v>227279.428</v>
      </c>
      <c r="P26" s="93" t="n">
        <f aca="false">SUM(I26:N26)</f>
        <v>113806</v>
      </c>
    </row>
    <row r="27" customFormat="false" ht="15" hidden="false" customHeight="false" outlineLevel="1" collapsed="false">
      <c r="B27" s="5" t="s">
        <v>339</v>
      </c>
      <c r="C27" s="34" t="n">
        <f aca="false">'実績原本_白鳥惣菜_7-9月'!B23</f>
        <v>9197.121</v>
      </c>
      <c r="D27" s="34" t="n">
        <f aca="false">'実績原本_白鳥惣菜_7-9月'!C23</f>
        <v>-1271.735</v>
      </c>
      <c r="E27" s="34" t="n">
        <f aca="false">'実績原本_白鳥惣菜_7-9月'!D23</f>
        <v>5864.168</v>
      </c>
      <c r="F27" s="34" t="n">
        <f aca="false">予算原本_白鳥惣菜!E23</f>
        <v>100</v>
      </c>
      <c r="G27" s="34" t="n">
        <f aca="false">予算原本_白鳥惣菜!F23</f>
        <v>100</v>
      </c>
      <c r="H27" s="34" t="n">
        <f aca="false">予算原本_白鳥惣菜!G23</f>
        <v>3500</v>
      </c>
      <c r="I27" s="34" t="n">
        <f aca="false">予算原本_白鳥惣菜!H23</f>
        <v>100</v>
      </c>
      <c r="J27" s="34" t="n">
        <f aca="false">予算原本_白鳥惣菜!I23</f>
        <v>1000</v>
      </c>
      <c r="K27" s="34" t="n">
        <f aca="false">予算原本_白鳥惣菜!J23</f>
        <v>1500</v>
      </c>
      <c r="L27" s="34" t="n">
        <f aca="false">予算原本_白鳥惣菜!K23</f>
        <v>100</v>
      </c>
      <c r="M27" s="34" t="n">
        <f aca="false">予算原本_白鳥惣菜!L23</f>
        <v>1000</v>
      </c>
      <c r="N27" s="34" t="n">
        <f aca="false">予算原本_白鳥惣菜!M23</f>
        <v>100</v>
      </c>
      <c r="O27" s="93" t="n">
        <f aca="false">SUM(C27:N27)</f>
        <v>21289.554</v>
      </c>
      <c r="P27" s="93" t="n">
        <f aca="false">SUM(I27:N27)</f>
        <v>3800</v>
      </c>
    </row>
    <row r="28" customFormat="false" ht="15" hidden="false" customHeight="false" outlineLevel="1" collapsed="false">
      <c r="B28" s="5" t="s">
        <v>340</v>
      </c>
      <c r="C28" s="34" t="n">
        <f aca="false">'実績原本_白鳥惣菜_7-9月'!B24</f>
        <v>5160</v>
      </c>
      <c r="D28" s="34" t="n">
        <f aca="false">'実績原本_白鳥惣菜_7-9月'!C24</f>
        <v>5160</v>
      </c>
      <c r="E28" s="34" t="n">
        <f aca="false">'実績原本_白鳥惣菜_7-9月'!D24</f>
        <v>5160</v>
      </c>
      <c r="F28" s="34" t="n">
        <f aca="false">予算原本_白鳥惣菜!E24</f>
        <v>5160</v>
      </c>
      <c r="G28" s="34" t="n">
        <f aca="false">予算原本_白鳥惣菜!F24</f>
        <v>5160</v>
      </c>
      <c r="H28" s="34" t="n">
        <f aca="false">予算原本_白鳥惣菜!G24</f>
        <v>5160</v>
      </c>
      <c r="I28" s="34" t="n">
        <f aca="false">予算原本_白鳥惣菜!H24</f>
        <v>5160</v>
      </c>
      <c r="J28" s="34" t="n">
        <f aca="false">予算原本_白鳥惣菜!I24</f>
        <v>5160</v>
      </c>
      <c r="K28" s="34" t="n">
        <f aca="false">予算原本_白鳥惣菜!J24</f>
        <v>5160</v>
      </c>
      <c r="L28" s="34" t="n">
        <f aca="false">予算原本_白鳥惣菜!K24</f>
        <v>5160</v>
      </c>
      <c r="M28" s="34" t="n">
        <f aca="false">予算原本_白鳥惣菜!L24</f>
        <v>5160</v>
      </c>
      <c r="N28" s="34" t="n">
        <f aca="false">予算原本_白鳥惣菜!M24</f>
        <v>5160</v>
      </c>
      <c r="O28" s="93" t="n">
        <f aca="false">SUM(C28:N28)</f>
        <v>61920</v>
      </c>
      <c r="P28" s="93" t="n">
        <f aca="false">SUM(I28:N28)</f>
        <v>30960</v>
      </c>
    </row>
    <row r="29" customFormat="false" ht="15" hidden="false" customHeight="false" outlineLevel="1" collapsed="false">
      <c r="B29" s="5" t="s">
        <v>341</v>
      </c>
      <c r="C29" s="34" t="n">
        <f aca="false">'実績原本_白鳥惣菜_7-9月'!B25</f>
        <v>19189.69</v>
      </c>
      <c r="D29" s="34" t="n">
        <f aca="false">'実績原本_白鳥惣菜_7-9月'!C25</f>
        <v>19595.3682727273</v>
      </c>
      <c r="E29" s="34" t="n">
        <f aca="false">'実績原本_白鳥惣菜_7-9月'!D25</f>
        <v>19894.275</v>
      </c>
      <c r="F29" s="34" t="n">
        <f aca="false">予算原本_白鳥惣菜!E25</f>
        <v>17224</v>
      </c>
      <c r="G29" s="34" t="n">
        <f aca="false">予算原本_白鳥惣菜!F25</f>
        <v>15892</v>
      </c>
      <c r="H29" s="34" t="n">
        <f aca="false">予算原本_白鳥惣菜!G25</f>
        <v>17256</v>
      </c>
      <c r="I29" s="34" t="n">
        <f aca="false">予算原本_白鳥惣菜!H25</f>
        <v>17757</v>
      </c>
      <c r="J29" s="34" t="n">
        <f aca="false">予算原本_白鳥惣菜!I25</f>
        <v>16396</v>
      </c>
      <c r="K29" s="34" t="n">
        <f aca="false">予算原本_白鳥惣菜!J25</f>
        <v>17418</v>
      </c>
      <c r="L29" s="34" t="n">
        <f aca="false">予算原本_白鳥惣菜!K25</f>
        <v>17091</v>
      </c>
      <c r="M29" s="34" t="n">
        <f aca="false">予算原本_白鳥惣菜!L25</f>
        <v>17203</v>
      </c>
      <c r="N29" s="34" t="n">
        <f aca="false">予算原本_白鳥惣菜!M25</f>
        <v>17479</v>
      </c>
      <c r="O29" s="93" t="n">
        <f aca="false">SUM(C29:N29)</f>
        <v>212395.333272727</v>
      </c>
      <c r="P29" s="93" t="n">
        <f aca="false">SUM(I29:N29)</f>
        <v>103344</v>
      </c>
    </row>
    <row r="30" customFormat="false" ht="15" hidden="false" customHeight="false" outlineLevel="1" collapsed="false">
      <c r="B30" s="5" t="s">
        <v>342</v>
      </c>
      <c r="C30" s="34" t="n">
        <f aca="false">'実績原本_白鳥惣菜_7-9月'!B26</f>
        <v>2499.83633333333</v>
      </c>
      <c r="D30" s="34" t="n">
        <f aca="false">'実績原本_白鳥惣菜_7-9月'!C26</f>
        <v>2327.673</v>
      </c>
      <c r="E30" s="34" t="n">
        <f aca="false">'実績原本_白鳥惣菜_7-9月'!D26</f>
        <v>2810.286</v>
      </c>
      <c r="F30" s="34" t="n">
        <f aca="false">予算原本_白鳥惣菜!E26</f>
        <v>3635</v>
      </c>
      <c r="G30" s="34" t="n">
        <f aca="false">予算原本_白鳥惣菜!F26</f>
        <v>6760</v>
      </c>
      <c r="H30" s="34" t="n">
        <f aca="false">予算原本_白鳥惣菜!G26</f>
        <v>3760</v>
      </c>
      <c r="I30" s="34" t="n">
        <f aca="false">予算原本_白鳥惣菜!H26</f>
        <v>3635</v>
      </c>
      <c r="J30" s="34" t="n">
        <f aca="false">予算原本_白鳥惣菜!I26</f>
        <v>3510</v>
      </c>
      <c r="K30" s="34" t="n">
        <f aca="false">予算原本_白鳥惣菜!J26</f>
        <v>3510</v>
      </c>
      <c r="L30" s="34" t="n">
        <f aca="false">予算原本_白鳥惣菜!K26</f>
        <v>3385</v>
      </c>
      <c r="M30" s="34" t="n">
        <f aca="false">予算原本_白鳥惣菜!L26</f>
        <v>6385</v>
      </c>
      <c r="N30" s="34" t="n">
        <f aca="false">予算原本_白鳥惣菜!M26</f>
        <v>3635</v>
      </c>
      <c r="O30" s="93" t="n">
        <f aca="false">SUM(C30:N30)</f>
        <v>45852.7953333333</v>
      </c>
      <c r="P30" s="93" t="n">
        <f aca="false">SUM(I30:N30)</f>
        <v>24060</v>
      </c>
    </row>
    <row r="31" customFormat="false" ht="15" hidden="false" customHeight="false" outlineLevel="1" collapsed="false">
      <c r="B31" s="5" t="s">
        <v>343</v>
      </c>
      <c r="C31" s="34" t="n">
        <f aca="false">'実績原本_白鳥惣菜_7-9月'!B27</f>
        <v>0</v>
      </c>
      <c r="D31" s="34" t="n">
        <f aca="false">'実績原本_白鳥惣菜_7-9月'!C27</f>
        <v>0</v>
      </c>
      <c r="E31" s="34" t="n">
        <f aca="false">'実績原本_白鳥惣菜_7-9月'!D27</f>
        <v>0</v>
      </c>
      <c r="F31" s="34" t="n">
        <f aca="false">予算原本_白鳥惣菜!E27</f>
        <v>0</v>
      </c>
      <c r="G31" s="34" t="n">
        <f aca="false">予算原本_白鳥惣菜!F27</f>
        <v>0</v>
      </c>
      <c r="H31" s="34" t="n">
        <f aca="false">予算原本_白鳥惣菜!G27</f>
        <v>0</v>
      </c>
      <c r="I31" s="34" t="n">
        <f aca="false">予算原本_白鳥惣菜!H27</f>
        <v>0</v>
      </c>
      <c r="J31" s="34" t="n">
        <f aca="false">予算原本_白鳥惣菜!I27</f>
        <v>0</v>
      </c>
      <c r="K31" s="34" t="n">
        <f aca="false">予算原本_白鳥惣菜!J27</f>
        <v>0</v>
      </c>
      <c r="L31" s="34" t="n">
        <f aca="false">予算原本_白鳥惣菜!K27</f>
        <v>0</v>
      </c>
      <c r="M31" s="34" t="n">
        <f aca="false">予算原本_白鳥惣菜!L27</f>
        <v>0</v>
      </c>
      <c r="N31" s="34" t="n">
        <f aca="false">予算原本_白鳥惣菜!M27</f>
        <v>0</v>
      </c>
      <c r="O31" s="93" t="n">
        <f aca="false">SUM(C31:N31)</f>
        <v>0</v>
      </c>
      <c r="P31" s="93" t="n">
        <f aca="false">SUM(I31:N31)</f>
        <v>0</v>
      </c>
    </row>
    <row r="32" customFormat="false" ht="15" hidden="false" customHeight="false" outlineLevel="1" collapsed="false">
      <c r="B32" s="5" t="s">
        <v>344</v>
      </c>
      <c r="C32" s="34" t="n">
        <f aca="false">'実績原本_白鳥惣菜_7-9月'!B28</f>
        <v>0</v>
      </c>
      <c r="D32" s="34" t="n">
        <f aca="false">'実績原本_白鳥惣菜_7-9月'!C28</f>
        <v>0</v>
      </c>
      <c r="E32" s="34" t="n">
        <f aca="false">'実績原本_白鳥惣菜_7-9月'!D28</f>
        <v>0</v>
      </c>
      <c r="F32" s="34" t="n">
        <f aca="false">予算原本_白鳥惣菜!E28</f>
        <v>10</v>
      </c>
      <c r="G32" s="34" t="n">
        <f aca="false">予算原本_白鳥惣菜!F28</f>
        <v>10</v>
      </c>
      <c r="H32" s="34" t="n">
        <f aca="false">予算原本_白鳥惣菜!G28</f>
        <v>10</v>
      </c>
      <c r="I32" s="34" t="n">
        <f aca="false">予算原本_白鳥惣菜!H28</f>
        <v>10</v>
      </c>
      <c r="J32" s="34" t="n">
        <f aca="false">予算原本_白鳥惣菜!I28</f>
        <v>10</v>
      </c>
      <c r="K32" s="34" t="n">
        <f aca="false">予算原本_白鳥惣菜!J28</f>
        <v>10</v>
      </c>
      <c r="L32" s="34" t="n">
        <f aca="false">予算原本_白鳥惣菜!K28</f>
        <v>10</v>
      </c>
      <c r="M32" s="34" t="n">
        <f aca="false">予算原本_白鳥惣菜!L28</f>
        <v>10</v>
      </c>
      <c r="N32" s="34" t="n">
        <f aca="false">予算原本_白鳥惣菜!M28</f>
        <v>10</v>
      </c>
      <c r="O32" s="93" t="n">
        <f aca="false">SUM(C32:N32)</f>
        <v>90</v>
      </c>
      <c r="P32" s="93" t="n">
        <f aca="false">SUM(I32:N32)</f>
        <v>60</v>
      </c>
    </row>
    <row r="33" customFormat="false" ht="15" hidden="false" customHeight="false" outlineLevel="0" collapsed="false">
      <c r="B33" s="12" t="s">
        <v>345</v>
      </c>
      <c r="C33" s="106" t="n">
        <f aca="false">'実績原本_白鳥惣菜_7-9月'!B29</f>
        <v>0</v>
      </c>
      <c r="D33" s="106" t="n">
        <f aca="false">'実績原本_白鳥惣菜_7-9月'!C29</f>
        <v>0</v>
      </c>
      <c r="E33" s="106" t="n">
        <f aca="false">'実績原本_白鳥惣菜_7-9月'!D29</f>
        <v>0</v>
      </c>
      <c r="F33" s="106" t="n">
        <f aca="false">予算原本_白鳥惣菜!E29</f>
        <v>0</v>
      </c>
      <c r="G33" s="106" t="n">
        <f aca="false">予算原本_白鳥惣菜!F29</f>
        <v>0</v>
      </c>
      <c r="H33" s="106" t="n">
        <f aca="false">予算原本_白鳥惣菜!G29</f>
        <v>0</v>
      </c>
      <c r="I33" s="106" t="n">
        <f aca="false">予算原本_白鳥惣菜!H29</f>
        <v>0</v>
      </c>
      <c r="J33" s="106" t="n">
        <f aca="false">予算原本_白鳥惣菜!I29</f>
        <v>0</v>
      </c>
      <c r="K33" s="106" t="n">
        <f aca="false">予算原本_白鳥惣菜!J29</f>
        <v>0</v>
      </c>
      <c r="L33" s="106" t="n">
        <f aca="false">予算原本_白鳥惣菜!K29</f>
        <v>0</v>
      </c>
      <c r="M33" s="106" t="n">
        <f aca="false">予算原本_白鳥惣菜!L29</f>
        <v>0</v>
      </c>
      <c r="N33" s="106" t="n">
        <f aca="false">予算原本_白鳥惣菜!M29</f>
        <v>0</v>
      </c>
      <c r="O33" s="93" t="n">
        <f aca="false">SUM(C33:N33)</f>
        <v>0</v>
      </c>
      <c r="P33" s="93" t="n">
        <f aca="false">SUM(I33:N33)</f>
        <v>0</v>
      </c>
    </row>
    <row r="34" customFormat="false" ht="15" hidden="false" customHeight="false" outlineLevel="1" collapsed="false">
      <c r="B34" s="5" t="s">
        <v>346</v>
      </c>
      <c r="C34" s="34" t="n">
        <f aca="false">'実績原本_白鳥惣菜_7-9月'!B30</f>
        <v>0</v>
      </c>
      <c r="D34" s="34" t="n">
        <f aca="false">'実績原本_白鳥惣菜_7-9月'!C30</f>
        <v>0</v>
      </c>
      <c r="E34" s="34" t="n">
        <f aca="false">'実績原本_白鳥惣菜_7-9月'!D30</f>
        <v>0</v>
      </c>
      <c r="F34" s="34" t="n">
        <f aca="false">予算原本_白鳥惣菜!E30</f>
        <v>0</v>
      </c>
      <c r="G34" s="34" t="n">
        <f aca="false">予算原本_白鳥惣菜!F30</f>
        <v>0</v>
      </c>
      <c r="H34" s="34" t="n">
        <f aca="false">予算原本_白鳥惣菜!G30</f>
        <v>0</v>
      </c>
      <c r="I34" s="34" t="n">
        <f aca="false">予算原本_白鳥惣菜!H30</f>
        <v>0</v>
      </c>
      <c r="J34" s="34" t="n">
        <f aca="false">予算原本_白鳥惣菜!I30</f>
        <v>0</v>
      </c>
      <c r="K34" s="34" t="n">
        <f aca="false">予算原本_白鳥惣菜!J30</f>
        <v>0</v>
      </c>
      <c r="L34" s="34" t="n">
        <f aca="false">予算原本_白鳥惣菜!K30</f>
        <v>0</v>
      </c>
      <c r="M34" s="34" t="n">
        <f aca="false">予算原本_白鳥惣菜!L30</f>
        <v>0</v>
      </c>
      <c r="N34" s="34" t="n">
        <f aca="false">予算原本_白鳥惣菜!M30</f>
        <v>0</v>
      </c>
      <c r="O34" s="93" t="n">
        <f aca="false">SUM(C34:N34)</f>
        <v>0</v>
      </c>
      <c r="P34" s="93" t="n">
        <f aca="false">SUM(I34:N34)</f>
        <v>0</v>
      </c>
    </row>
    <row r="35" customFormat="false" ht="15" hidden="false" customHeight="false" outlineLevel="1" collapsed="false">
      <c r="B35" s="5" t="s">
        <v>347</v>
      </c>
      <c r="C35" s="34" t="n">
        <f aca="false">'実績原本_白鳥惣菜_7-9月'!B31</f>
        <v>0</v>
      </c>
      <c r="D35" s="34" t="n">
        <f aca="false">'実績原本_白鳥惣菜_7-9月'!C31</f>
        <v>0</v>
      </c>
      <c r="E35" s="34" t="n">
        <f aca="false">'実績原本_白鳥惣菜_7-9月'!D31</f>
        <v>0</v>
      </c>
      <c r="F35" s="34" t="n">
        <f aca="false">予算原本_白鳥惣菜!E31</f>
        <v>0</v>
      </c>
      <c r="G35" s="34" t="n">
        <f aca="false">予算原本_白鳥惣菜!F31</f>
        <v>0</v>
      </c>
      <c r="H35" s="34" t="n">
        <f aca="false">予算原本_白鳥惣菜!G31</f>
        <v>0</v>
      </c>
      <c r="I35" s="34" t="n">
        <f aca="false">予算原本_白鳥惣菜!H31</f>
        <v>0</v>
      </c>
      <c r="J35" s="34" t="n">
        <f aca="false">予算原本_白鳥惣菜!I31</f>
        <v>0</v>
      </c>
      <c r="K35" s="34" t="n">
        <f aca="false">予算原本_白鳥惣菜!J31</f>
        <v>0</v>
      </c>
      <c r="L35" s="34" t="n">
        <f aca="false">予算原本_白鳥惣菜!K31</f>
        <v>0</v>
      </c>
      <c r="M35" s="34" t="n">
        <f aca="false">予算原本_白鳥惣菜!L31</f>
        <v>0</v>
      </c>
      <c r="N35" s="34" t="n">
        <f aca="false">予算原本_白鳥惣菜!M31</f>
        <v>0</v>
      </c>
      <c r="O35" s="93" t="n">
        <f aca="false">SUM(C35:N35)</f>
        <v>0</v>
      </c>
      <c r="P35" s="93" t="n">
        <f aca="false">SUM(I35:N35)</f>
        <v>0</v>
      </c>
    </row>
    <row r="36" customFormat="false" ht="15" hidden="false" customHeight="false" outlineLevel="0" collapsed="false">
      <c r="B36" s="12" t="s">
        <v>348</v>
      </c>
      <c r="C36" s="106" t="n">
        <f aca="false">'実績原本_白鳥惣菜_7-9月'!B32</f>
        <v>4654.458</v>
      </c>
      <c r="D36" s="106" t="n">
        <f aca="false">'実績原本_白鳥惣菜_7-9月'!C32</f>
        <v>4650.976</v>
      </c>
      <c r="E36" s="106" t="n">
        <f aca="false">'実績原本_白鳥惣菜_7-9月'!D32</f>
        <v>4649.648</v>
      </c>
      <c r="F36" s="106" t="n">
        <f aca="false">予算原本_白鳥惣菜!E32</f>
        <v>2069.6</v>
      </c>
      <c r="G36" s="106" t="n">
        <f aca="false">予算原本_白鳥惣菜!F32</f>
        <v>2069.6</v>
      </c>
      <c r="H36" s="106" t="n">
        <f aca="false">予算原本_白鳥惣菜!G32</f>
        <v>2069.6</v>
      </c>
      <c r="I36" s="106" t="n">
        <f aca="false">予算原本_白鳥惣菜!H32</f>
        <v>2069.6</v>
      </c>
      <c r="J36" s="106" t="n">
        <f aca="false">予算原本_白鳥惣菜!I32</f>
        <v>2069.6</v>
      </c>
      <c r="K36" s="106" t="n">
        <f aca="false">予算原本_白鳥惣菜!J32</f>
        <v>2069.6</v>
      </c>
      <c r="L36" s="106" t="n">
        <f aca="false">予算原本_白鳥惣菜!K32</f>
        <v>2069.6</v>
      </c>
      <c r="M36" s="106" t="n">
        <f aca="false">予算原本_白鳥惣菜!L32</f>
        <v>2069.6</v>
      </c>
      <c r="N36" s="106" t="n">
        <f aca="false">予算原本_白鳥惣菜!M32</f>
        <v>2069.6</v>
      </c>
      <c r="O36" s="93" t="n">
        <f aca="false">SUM(C36:N36)</f>
        <v>32581.482</v>
      </c>
      <c r="P36" s="93" t="n">
        <f aca="false">SUM(I36:N36)</f>
        <v>12417.6</v>
      </c>
    </row>
    <row r="37" customFormat="false" ht="15" hidden="false" customHeight="false" outlineLevel="1" collapsed="false">
      <c r="B37" s="5" t="s">
        <v>349</v>
      </c>
      <c r="C37" s="34" t="n">
        <f aca="false">'実績原本_白鳥惣菜_7-9月'!B33</f>
        <v>0</v>
      </c>
      <c r="D37" s="34" t="n">
        <f aca="false">'実績原本_白鳥惣菜_7-9月'!C33</f>
        <v>0</v>
      </c>
      <c r="E37" s="34" t="n">
        <f aca="false">'実績原本_白鳥惣菜_7-9月'!D33</f>
        <v>0</v>
      </c>
      <c r="F37" s="34" t="n">
        <f aca="false">予算原本_白鳥惣菜!E33</f>
        <v>0</v>
      </c>
      <c r="G37" s="34" t="n">
        <f aca="false">予算原本_白鳥惣菜!F33</f>
        <v>0</v>
      </c>
      <c r="H37" s="34" t="n">
        <f aca="false">予算原本_白鳥惣菜!G33</f>
        <v>0</v>
      </c>
      <c r="I37" s="34" t="n">
        <f aca="false">予算原本_白鳥惣菜!H33</f>
        <v>0</v>
      </c>
      <c r="J37" s="34" t="n">
        <f aca="false">予算原本_白鳥惣菜!I33</f>
        <v>0</v>
      </c>
      <c r="K37" s="34" t="n">
        <f aca="false">予算原本_白鳥惣菜!J33</f>
        <v>0</v>
      </c>
      <c r="L37" s="34" t="n">
        <f aca="false">予算原本_白鳥惣菜!K33</f>
        <v>0</v>
      </c>
      <c r="M37" s="34" t="n">
        <f aca="false">予算原本_白鳥惣菜!L33</f>
        <v>0</v>
      </c>
      <c r="N37" s="34" t="n">
        <f aca="false">予算原本_白鳥惣菜!M33</f>
        <v>0</v>
      </c>
      <c r="O37" s="93" t="n">
        <f aca="false">SUM(C37:N37)</f>
        <v>0</v>
      </c>
      <c r="P37" s="93" t="n">
        <f aca="false">SUM(I37:N37)</f>
        <v>0</v>
      </c>
    </row>
    <row r="38" customFormat="false" ht="15" hidden="false" customHeight="false" outlineLevel="1" collapsed="false">
      <c r="B38" s="5" t="s">
        <v>350</v>
      </c>
      <c r="C38" s="34" t="n">
        <f aca="false">'実績原本_白鳥惣菜_7-9月'!B34</f>
        <v>3216.858</v>
      </c>
      <c r="D38" s="34" t="n">
        <f aca="false">'実績原本_白鳥惣菜_7-9月'!C34</f>
        <v>3213.376</v>
      </c>
      <c r="E38" s="34" t="n">
        <f aca="false">'実績原本_白鳥惣菜_7-9月'!D34</f>
        <v>3212.048</v>
      </c>
      <c r="F38" s="34" t="n">
        <f aca="false">予算原本_白鳥惣菜!E34</f>
        <v>632</v>
      </c>
      <c r="G38" s="34" t="n">
        <f aca="false">予算原本_白鳥惣菜!F34</f>
        <v>632</v>
      </c>
      <c r="H38" s="34" t="n">
        <f aca="false">予算原本_白鳥惣菜!G34</f>
        <v>632</v>
      </c>
      <c r="I38" s="34" t="n">
        <f aca="false">予算原本_白鳥惣菜!H34</f>
        <v>632</v>
      </c>
      <c r="J38" s="34" t="n">
        <f aca="false">予算原本_白鳥惣菜!I34</f>
        <v>632</v>
      </c>
      <c r="K38" s="34" t="n">
        <f aca="false">予算原本_白鳥惣菜!J34</f>
        <v>632</v>
      </c>
      <c r="L38" s="34" t="n">
        <f aca="false">予算原本_白鳥惣菜!K34</f>
        <v>632</v>
      </c>
      <c r="M38" s="34" t="n">
        <f aca="false">予算原本_白鳥惣菜!L34</f>
        <v>632</v>
      </c>
      <c r="N38" s="34" t="n">
        <f aca="false">予算原本_白鳥惣菜!M34</f>
        <v>632</v>
      </c>
      <c r="O38" s="93" t="n">
        <f aca="false">SUM(C38:N38)</f>
        <v>15330.282</v>
      </c>
      <c r="P38" s="93" t="n">
        <f aca="false">SUM(I38:N38)</f>
        <v>3792</v>
      </c>
    </row>
    <row r="39" customFormat="false" ht="15" hidden="false" customHeight="false" outlineLevel="1" collapsed="false">
      <c r="B39" s="5" t="s">
        <v>351</v>
      </c>
      <c r="C39" s="34" t="n">
        <f aca="false">'実績原本_白鳥惣菜_7-9月'!B35</f>
        <v>1437.6</v>
      </c>
      <c r="D39" s="34" t="n">
        <f aca="false">'実績原本_白鳥惣菜_7-9月'!C35</f>
        <v>1437.6</v>
      </c>
      <c r="E39" s="34" t="n">
        <f aca="false">'実績原本_白鳥惣菜_7-9月'!D35</f>
        <v>1437.6</v>
      </c>
      <c r="F39" s="34" t="n">
        <f aca="false">予算原本_白鳥惣菜!E35</f>
        <v>1437.6</v>
      </c>
      <c r="G39" s="34" t="n">
        <f aca="false">予算原本_白鳥惣菜!F35</f>
        <v>1437.6</v>
      </c>
      <c r="H39" s="34" t="n">
        <f aca="false">予算原本_白鳥惣菜!G35</f>
        <v>1437.6</v>
      </c>
      <c r="I39" s="34" t="n">
        <f aca="false">予算原本_白鳥惣菜!H35</f>
        <v>1437.6</v>
      </c>
      <c r="J39" s="34" t="n">
        <f aca="false">予算原本_白鳥惣菜!I35</f>
        <v>1437.6</v>
      </c>
      <c r="K39" s="34" t="n">
        <f aca="false">予算原本_白鳥惣菜!J35</f>
        <v>1437.6</v>
      </c>
      <c r="L39" s="34" t="n">
        <f aca="false">予算原本_白鳥惣菜!K35</f>
        <v>1437.6</v>
      </c>
      <c r="M39" s="34" t="n">
        <f aca="false">予算原本_白鳥惣菜!L35</f>
        <v>1437.6</v>
      </c>
      <c r="N39" s="34" t="n">
        <f aca="false">予算原本_白鳥惣菜!M35</f>
        <v>1437.6</v>
      </c>
      <c r="O39" s="93" t="n">
        <f aca="false">SUM(C39:N39)</f>
        <v>17251.2</v>
      </c>
      <c r="P39" s="93" t="n">
        <f aca="false">SUM(I39:N39)</f>
        <v>8625.6</v>
      </c>
    </row>
    <row r="40" customFormat="false" ht="15" hidden="false" customHeight="false" outlineLevel="0" collapsed="false">
      <c r="B40" s="12" t="s">
        <v>352</v>
      </c>
      <c r="C40" s="106" t="n">
        <f aca="false">'実績原本_白鳥惣菜_7-9月'!B36</f>
        <v>101198.778196667</v>
      </c>
      <c r="D40" s="106" t="n">
        <f aca="false">'実績原本_白鳥惣菜_7-9月'!C36</f>
        <v>92637.1607233334</v>
      </c>
      <c r="E40" s="106" t="n">
        <f aca="false">'実績原本_白鳥惣菜_7-9月'!D36</f>
        <v>79802.7758674978</v>
      </c>
      <c r="F40" s="106" t="n">
        <f aca="false">予算原本_白鳥惣菜!E36</f>
        <v>75996.9078</v>
      </c>
      <c r="G40" s="106" t="n">
        <f aca="false">予算原本_白鳥惣菜!F36</f>
        <v>73366.4724</v>
      </c>
      <c r="H40" s="106" t="n">
        <f aca="false">予算原本_白鳥惣菜!G36</f>
        <v>85549.8789</v>
      </c>
      <c r="I40" s="106" t="n">
        <f aca="false">予算原本_白鳥惣菜!H36</f>
        <v>74334.1591</v>
      </c>
      <c r="J40" s="106" t="n">
        <f aca="false">予算原本_白鳥惣菜!I36</f>
        <v>72606.2817</v>
      </c>
      <c r="K40" s="106" t="n">
        <f aca="false">予算原本_白鳥惣菜!J36</f>
        <v>85296.8617</v>
      </c>
      <c r="L40" s="106" t="n">
        <f aca="false">予算原本_白鳥惣菜!K36</f>
        <v>79623.9617</v>
      </c>
      <c r="M40" s="106" t="n">
        <f aca="false">予算原本_白鳥惣菜!L36</f>
        <v>78769.9617</v>
      </c>
      <c r="N40" s="106" t="n">
        <f aca="false">予算原本_白鳥惣菜!M36</f>
        <v>78291.9617</v>
      </c>
      <c r="O40" s="93" t="n">
        <f aca="false">SUM(C40:N40)</f>
        <v>977475.161487498</v>
      </c>
      <c r="P40" s="93" t="n">
        <f aca="false">SUM(I40:N40)</f>
        <v>468923.1876</v>
      </c>
    </row>
    <row r="41" customFormat="false" ht="15" hidden="false" customHeight="false" outlineLevel="1" collapsed="false">
      <c r="B41" s="5" t="s">
        <v>353</v>
      </c>
      <c r="C41" s="34" t="n">
        <f aca="false">'実績原本_白鳥惣菜_7-9月'!B37</f>
        <v>16456.42208</v>
      </c>
      <c r="D41" s="34" t="n">
        <f aca="false">'実績原本_白鳥惣菜_7-9月'!C37</f>
        <v>8596.93692</v>
      </c>
      <c r="E41" s="34" t="n">
        <f aca="false">'実績原本_白鳥惣菜_7-9月'!D37</f>
        <v>4820.79764</v>
      </c>
      <c r="F41" s="34" t="n">
        <f aca="false">予算原本_白鳥惣菜!E37</f>
        <v>3650</v>
      </c>
      <c r="G41" s="34" t="n">
        <f aca="false">予算原本_白鳥惣菜!F37</f>
        <v>1000</v>
      </c>
      <c r="H41" s="34" t="n">
        <f aca="false">予算原本_白鳥惣菜!G37</f>
        <v>7500</v>
      </c>
      <c r="I41" s="34" t="n">
        <f aca="false">予算原本_白鳥惣菜!H37</f>
        <v>1500</v>
      </c>
      <c r="J41" s="34" t="n">
        <f aca="false">予算原本_白鳥惣菜!I37</f>
        <v>2000</v>
      </c>
      <c r="K41" s="34" t="n">
        <f aca="false">予算原本_白鳥惣菜!J37</f>
        <v>9000</v>
      </c>
      <c r="L41" s="34" t="n">
        <f aca="false">予算原本_白鳥惣菜!K37</f>
        <v>5750</v>
      </c>
      <c r="M41" s="34" t="n">
        <f aca="false">予算原本_白鳥惣菜!L37</f>
        <v>4250</v>
      </c>
      <c r="N41" s="34" t="n">
        <f aca="false">予算原本_白鳥惣菜!M37</f>
        <v>4250</v>
      </c>
      <c r="O41" s="93" t="n">
        <f aca="false">SUM(C41:N41)</f>
        <v>68774.15664</v>
      </c>
      <c r="P41" s="93" t="n">
        <f aca="false">SUM(I41:N41)</f>
        <v>26750</v>
      </c>
    </row>
    <row r="42" customFormat="false" ht="15" hidden="false" customHeight="false" outlineLevel="1" collapsed="false">
      <c r="B42" s="5" t="s">
        <v>354</v>
      </c>
      <c r="C42" s="34" t="n">
        <f aca="false">'実績原本_白鳥惣菜_7-9月'!B38</f>
        <v>0</v>
      </c>
      <c r="D42" s="34" t="n">
        <f aca="false">'実績原本_白鳥惣菜_7-9月'!C38</f>
        <v>0</v>
      </c>
      <c r="E42" s="34" t="n">
        <f aca="false">'実績原本_白鳥惣菜_7-9月'!D38</f>
        <v>0</v>
      </c>
      <c r="F42" s="34" t="n">
        <f aca="false">予算原本_白鳥惣菜!E38</f>
        <v>0</v>
      </c>
      <c r="G42" s="34" t="n">
        <f aca="false">予算原本_白鳥惣菜!F38</f>
        <v>0</v>
      </c>
      <c r="H42" s="34" t="n">
        <f aca="false">予算原本_白鳥惣菜!G38</f>
        <v>0</v>
      </c>
      <c r="I42" s="34" t="n">
        <f aca="false">予算原本_白鳥惣菜!H38</f>
        <v>0</v>
      </c>
      <c r="J42" s="34" t="n">
        <f aca="false">予算原本_白鳥惣菜!I38</f>
        <v>0</v>
      </c>
      <c r="K42" s="34" t="n">
        <f aca="false">予算原本_白鳥惣菜!J38</f>
        <v>0</v>
      </c>
      <c r="L42" s="34" t="n">
        <f aca="false">予算原本_白鳥惣菜!K38</f>
        <v>0</v>
      </c>
      <c r="M42" s="34" t="n">
        <f aca="false">予算原本_白鳥惣菜!L38</f>
        <v>0</v>
      </c>
      <c r="N42" s="34" t="n">
        <f aca="false">予算原本_白鳥惣菜!M38</f>
        <v>0</v>
      </c>
      <c r="O42" s="93" t="n">
        <f aca="false">SUM(C42:N42)</f>
        <v>0</v>
      </c>
      <c r="P42" s="93" t="n">
        <f aca="false">SUM(I42:N42)</f>
        <v>0</v>
      </c>
    </row>
    <row r="43" customFormat="false" ht="15" hidden="false" customHeight="false" outlineLevel="1" collapsed="false">
      <c r="B43" s="5" t="s">
        <v>355</v>
      </c>
      <c r="C43" s="34" t="n">
        <f aca="false">'実績原本_白鳥惣菜_7-9月'!B39</f>
        <v>250.3</v>
      </c>
      <c r="D43" s="34" t="n">
        <f aca="false">'実績原本_白鳥惣菜_7-9月'!C39</f>
        <v>964.2</v>
      </c>
      <c r="E43" s="34" t="n">
        <f aca="false">'実績原本_白鳥惣菜_7-9月'!D39</f>
        <v>2554.4</v>
      </c>
      <c r="F43" s="34" t="n">
        <f aca="false">予算原本_白鳥惣菜!E39</f>
        <v>1230</v>
      </c>
      <c r="G43" s="34" t="n">
        <f aca="false">予算原本_白鳥惣菜!F39</f>
        <v>600</v>
      </c>
      <c r="H43" s="34" t="n">
        <f aca="false">予算原本_白鳥惣菜!G39</f>
        <v>1230</v>
      </c>
      <c r="I43" s="34" t="n">
        <f aca="false">予算原本_白鳥惣菜!H39</f>
        <v>370</v>
      </c>
      <c r="J43" s="34" t="n">
        <f aca="false">予算原本_白鳥惣菜!I39</f>
        <v>500</v>
      </c>
      <c r="K43" s="34" t="n">
        <f aca="false">予算原本_白鳥惣菜!J39</f>
        <v>960</v>
      </c>
      <c r="L43" s="34" t="n">
        <f aca="false">予算原本_白鳥惣菜!K39</f>
        <v>760</v>
      </c>
      <c r="M43" s="34" t="n">
        <f aca="false">予算原本_白鳥惣菜!L39</f>
        <v>760</v>
      </c>
      <c r="N43" s="34" t="n">
        <f aca="false">予算原本_白鳥惣菜!M39</f>
        <v>760</v>
      </c>
      <c r="O43" s="93" t="n">
        <f aca="false">SUM(C43:N43)</f>
        <v>10938.9</v>
      </c>
      <c r="P43" s="93" t="n">
        <f aca="false">SUM(I43:N43)</f>
        <v>4110</v>
      </c>
    </row>
    <row r="44" customFormat="false" ht="15" hidden="false" customHeight="false" outlineLevel="1" collapsed="false">
      <c r="B44" s="5" t="s">
        <v>356</v>
      </c>
      <c r="C44" s="34" t="n">
        <f aca="false">'実績原本_白鳥惣菜_7-9月'!B40</f>
        <v>370.75533333333</v>
      </c>
      <c r="D44" s="34" t="n">
        <f aca="false">'実績原本_白鳥惣菜_7-9月'!C40</f>
        <v>324.74966666667</v>
      </c>
      <c r="E44" s="34" t="n">
        <f aca="false">'実績原本_白鳥惣菜_7-9月'!D40</f>
        <v>361.24966666667</v>
      </c>
      <c r="F44" s="34" t="n">
        <f aca="false">予算原本_白鳥惣菜!E40</f>
        <v>0</v>
      </c>
      <c r="G44" s="34" t="n">
        <f aca="false">予算原本_白鳥惣菜!F40</f>
        <v>0</v>
      </c>
      <c r="H44" s="34" t="n">
        <f aca="false">予算原本_白鳥惣菜!G40</f>
        <v>0</v>
      </c>
      <c r="I44" s="34" t="n">
        <f aca="false">予算原本_白鳥惣菜!H40</f>
        <v>0</v>
      </c>
      <c r="J44" s="34" t="n">
        <f aca="false">予算原本_白鳥惣菜!I40</f>
        <v>0</v>
      </c>
      <c r="K44" s="34" t="n">
        <f aca="false">予算原本_白鳥惣菜!J40</f>
        <v>0</v>
      </c>
      <c r="L44" s="34" t="n">
        <f aca="false">予算原本_白鳥惣菜!K40</f>
        <v>0</v>
      </c>
      <c r="M44" s="34" t="n">
        <f aca="false">予算原本_白鳥惣菜!L40</f>
        <v>0</v>
      </c>
      <c r="N44" s="34" t="n">
        <f aca="false">予算原本_白鳥惣菜!M40</f>
        <v>0</v>
      </c>
      <c r="O44" s="93" t="n">
        <f aca="false">SUM(C44:N44)</f>
        <v>1056.75466666667</v>
      </c>
      <c r="P44" s="93" t="n">
        <f aca="false">SUM(I44:N44)</f>
        <v>0</v>
      </c>
    </row>
    <row r="45" customFormat="false" ht="15" hidden="false" customHeight="false" outlineLevel="1" collapsed="false">
      <c r="B45" s="5" t="s">
        <v>357</v>
      </c>
      <c r="C45" s="34" t="n">
        <f aca="false">'実績原本_白鳥惣菜_7-9月'!B41</f>
        <v>0</v>
      </c>
      <c r="D45" s="34" t="n">
        <f aca="false">'実績原本_白鳥惣菜_7-9月'!C41</f>
        <v>0</v>
      </c>
      <c r="E45" s="34" t="n">
        <f aca="false">'実績原本_白鳥惣菜_7-9月'!D41</f>
        <v>0</v>
      </c>
      <c r="F45" s="34" t="n">
        <f aca="false">予算原本_白鳥惣菜!E41</f>
        <v>0</v>
      </c>
      <c r="G45" s="34" t="n">
        <f aca="false">予算原本_白鳥惣菜!F41</f>
        <v>0</v>
      </c>
      <c r="H45" s="34" t="n">
        <f aca="false">予算原本_白鳥惣菜!G41</f>
        <v>0</v>
      </c>
      <c r="I45" s="34" t="n">
        <f aca="false">予算原本_白鳥惣菜!H41</f>
        <v>0</v>
      </c>
      <c r="J45" s="34" t="n">
        <f aca="false">予算原本_白鳥惣菜!I41</f>
        <v>0</v>
      </c>
      <c r="K45" s="34" t="n">
        <f aca="false">予算原本_白鳥惣菜!J41</f>
        <v>0</v>
      </c>
      <c r="L45" s="34" t="n">
        <f aca="false">予算原本_白鳥惣菜!K41</f>
        <v>0</v>
      </c>
      <c r="M45" s="34" t="n">
        <f aca="false">予算原本_白鳥惣菜!L41</f>
        <v>0</v>
      </c>
      <c r="N45" s="34" t="n">
        <f aca="false">予算原本_白鳥惣菜!M41</f>
        <v>0</v>
      </c>
      <c r="O45" s="93" t="n">
        <f aca="false">SUM(C45:N45)</f>
        <v>0</v>
      </c>
      <c r="P45" s="93" t="n">
        <f aca="false">SUM(I45:N45)</f>
        <v>0</v>
      </c>
    </row>
    <row r="46" customFormat="false" ht="15" hidden="false" customHeight="false" outlineLevel="1" collapsed="false">
      <c r="B46" s="5" t="s">
        <v>358</v>
      </c>
      <c r="C46" s="34" t="n">
        <f aca="false">'実績原本_白鳥惣菜_7-9月'!B42</f>
        <v>1.44</v>
      </c>
      <c r="D46" s="34" t="n">
        <f aca="false">'実績原本_白鳥惣菜_7-9月'!C42</f>
        <v>9.433</v>
      </c>
      <c r="E46" s="34" t="n">
        <f aca="false">'実績原本_白鳥惣菜_7-9月'!D42</f>
        <v>54.403</v>
      </c>
      <c r="F46" s="34" t="n">
        <f aca="false">予算原本_白鳥惣菜!E42</f>
        <v>90</v>
      </c>
      <c r="G46" s="34" t="n">
        <f aca="false">予算原本_白鳥惣菜!F42</f>
        <v>90</v>
      </c>
      <c r="H46" s="34" t="n">
        <f aca="false">予算原本_白鳥惣菜!G42</f>
        <v>90</v>
      </c>
      <c r="I46" s="34" t="n">
        <f aca="false">予算原本_白鳥惣菜!H42</f>
        <v>90</v>
      </c>
      <c r="J46" s="34" t="n">
        <f aca="false">予算原本_白鳥惣菜!I42</f>
        <v>90</v>
      </c>
      <c r="K46" s="34" t="n">
        <f aca="false">予算原本_白鳥惣菜!J42</f>
        <v>120</v>
      </c>
      <c r="L46" s="34" t="n">
        <f aca="false">予算原本_白鳥惣菜!K42</f>
        <v>90</v>
      </c>
      <c r="M46" s="34" t="n">
        <f aca="false">予算原本_白鳥惣菜!L42</f>
        <v>90</v>
      </c>
      <c r="N46" s="34" t="n">
        <f aca="false">予算原本_白鳥惣菜!M42</f>
        <v>250</v>
      </c>
      <c r="O46" s="93" t="n">
        <f aca="false">SUM(C46:N46)</f>
        <v>1065.276</v>
      </c>
      <c r="P46" s="93" t="n">
        <f aca="false">SUM(I46:N46)</f>
        <v>730</v>
      </c>
    </row>
    <row r="47" customFormat="false" ht="15" hidden="false" customHeight="false" outlineLevel="1" collapsed="false">
      <c r="B47" s="5" t="s">
        <v>359</v>
      </c>
      <c r="C47" s="34" t="n">
        <f aca="false">'実績原本_白鳥惣菜_7-9月'!B43</f>
        <v>240.71333333333</v>
      </c>
      <c r="D47" s="34" t="n">
        <f aca="false">'実績原本_白鳥惣菜_7-9月'!C43</f>
        <v>122.218</v>
      </c>
      <c r="E47" s="34" t="n">
        <f aca="false">'実績原本_白鳥惣菜_7-9月'!D43</f>
        <v>115.669</v>
      </c>
      <c r="F47" s="34" t="n">
        <f aca="false">予算原本_白鳥惣菜!E43</f>
        <v>126</v>
      </c>
      <c r="G47" s="34" t="n">
        <f aca="false">予算原本_白鳥惣菜!F43</f>
        <v>126</v>
      </c>
      <c r="H47" s="34" t="n">
        <f aca="false">予算原本_白鳥惣菜!G43</f>
        <v>126</v>
      </c>
      <c r="I47" s="34" t="n">
        <f aca="false">予算原本_白鳥惣菜!H43</f>
        <v>126</v>
      </c>
      <c r="J47" s="34" t="n">
        <f aca="false">予算原本_白鳥惣菜!I43</f>
        <v>126</v>
      </c>
      <c r="K47" s="34" t="n">
        <f aca="false">予算原本_白鳥惣菜!J43</f>
        <v>126</v>
      </c>
      <c r="L47" s="34" t="n">
        <f aca="false">予算原本_白鳥惣菜!K43</f>
        <v>126</v>
      </c>
      <c r="M47" s="34" t="n">
        <f aca="false">予算原本_白鳥惣菜!L43</f>
        <v>126</v>
      </c>
      <c r="N47" s="34" t="n">
        <f aca="false">予算原本_白鳥惣菜!M43</f>
        <v>126</v>
      </c>
      <c r="O47" s="93" t="n">
        <f aca="false">SUM(C47:N47)</f>
        <v>1612.60033333333</v>
      </c>
      <c r="P47" s="93" t="n">
        <f aca="false">SUM(I47:N47)</f>
        <v>756</v>
      </c>
    </row>
    <row r="48" customFormat="false" ht="15" hidden="false" customHeight="false" outlineLevel="1" collapsed="false">
      <c r="B48" s="5" t="s">
        <v>360</v>
      </c>
      <c r="C48" s="34" t="n">
        <f aca="false">'実績原本_白鳥惣菜_7-9月'!B44</f>
        <v>14038.49745</v>
      </c>
      <c r="D48" s="34" t="n">
        <f aca="false">'実績原本_白鳥惣菜_7-9月'!C44</f>
        <v>12075.49947</v>
      </c>
      <c r="E48" s="34" t="n">
        <f aca="false">'実績原本_白鳥惣菜_7-9月'!D44</f>
        <v>13733.26034</v>
      </c>
      <c r="F48" s="34" t="n">
        <f aca="false">予算原本_白鳥惣菜!E44</f>
        <v>10933</v>
      </c>
      <c r="G48" s="34" t="n">
        <f aca="false">予算原本_白鳥惣菜!F44</f>
        <v>11433</v>
      </c>
      <c r="H48" s="34" t="n">
        <f aca="false">予算原本_白鳥惣菜!G44</f>
        <v>11633</v>
      </c>
      <c r="I48" s="34" t="n">
        <f aca="false">予算原本_白鳥惣菜!H44</f>
        <v>11433</v>
      </c>
      <c r="J48" s="34" t="n">
        <f aca="false">予算原本_白鳥惣菜!I44</f>
        <v>10933</v>
      </c>
      <c r="K48" s="34" t="n">
        <f aca="false">予算原本_白鳥惣菜!J44</f>
        <v>11433</v>
      </c>
      <c r="L48" s="34" t="n">
        <f aca="false">予算原本_白鳥惣菜!K44</f>
        <v>10933</v>
      </c>
      <c r="M48" s="34" t="n">
        <f aca="false">予算原本_白鳥惣菜!L44</f>
        <v>10933</v>
      </c>
      <c r="N48" s="34" t="n">
        <f aca="false">予算原本_白鳥惣菜!M44</f>
        <v>10933</v>
      </c>
      <c r="O48" s="93" t="n">
        <f aca="false">SUM(C48:N48)</f>
        <v>140444.25726</v>
      </c>
      <c r="P48" s="93" t="n">
        <f aca="false">SUM(I48:N48)</f>
        <v>66598</v>
      </c>
    </row>
    <row r="49" customFormat="false" ht="15" hidden="false" customHeight="false" outlineLevel="1" collapsed="false">
      <c r="B49" s="5" t="s">
        <v>361</v>
      </c>
      <c r="C49" s="34" t="n">
        <f aca="false">'実績原本_白鳥惣菜_7-9月'!B45</f>
        <v>0</v>
      </c>
      <c r="D49" s="34" t="n">
        <f aca="false">'実績原本_白鳥惣菜_7-9月'!C45</f>
        <v>0</v>
      </c>
      <c r="E49" s="34" t="n">
        <f aca="false">'実績原本_白鳥惣菜_7-9月'!D45</f>
        <v>0</v>
      </c>
      <c r="F49" s="34" t="n">
        <f aca="false">予算原本_白鳥惣菜!E45</f>
        <v>0</v>
      </c>
      <c r="G49" s="34" t="n">
        <f aca="false">予算原本_白鳥惣菜!F45</f>
        <v>0</v>
      </c>
      <c r="H49" s="34" t="n">
        <f aca="false">予算原本_白鳥惣菜!G45</f>
        <v>0</v>
      </c>
      <c r="I49" s="34" t="n">
        <f aca="false">予算原本_白鳥惣菜!H45</f>
        <v>0</v>
      </c>
      <c r="J49" s="34" t="n">
        <f aca="false">予算原本_白鳥惣菜!I45</f>
        <v>0</v>
      </c>
      <c r="K49" s="34" t="n">
        <f aca="false">予算原本_白鳥惣菜!J45</f>
        <v>0</v>
      </c>
      <c r="L49" s="34" t="n">
        <f aca="false">予算原本_白鳥惣菜!K45</f>
        <v>0</v>
      </c>
      <c r="M49" s="34" t="n">
        <f aca="false">予算原本_白鳥惣菜!L45</f>
        <v>0</v>
      </c>
      <c r="N49" s="34" t="n">
        <f aca="false">予算原本_白鳥惣菜!M45</f>
        <v>0</v>
      </c>
      <c r="O49" s="93" t="n">
        <f aca="false">SUM(C49:N49)</f>
        <v>0</v>
      </c>
      <c r="P49" s="93" t="n">
        <f aca="false">SUM(I49:N49)</f>
        <v>0</v>
      </c>
    </row>
    <row r="50" customFormat="false" ht="15" hidden="false" customHeight="false" outlineLevel="1" collapsed="false">
      <c r="B50" s="5" t="s">
        <v>362</v>
      </c>
      <c r="C50" s="34" t="n">
        <f aca="false">'実績原本_白鳥惣菜_7-9月'!B46</f>
        <v>48160.854</v>
      </c>
      <c r="D50" s="34" t="n">
        <f aca="false">'実績原本_白鳥惣菜_7-9月'!C46</f>
        <v>46164.248</v>
      </c>
      <c r="E50" s="34" t="n">
        <f aca="false">'実績原本_白鳥惣菜_7-9月'!D46</f>
        <v>43385.6145541644</v>
      </c>
      <c r="F50" s="34" t="n">
        <f aca="false">予算原本_白鳥惣菜!E46</f>
        <v>37235.6795</v>
      </c>
      <c r="G50" s="34" t="n">
        <f aca="false">予算原本_白鳥惣菜!F46</f>
        <v>36164.2441</v>
      </c>
      <c r="H50" s="34" t="n">
        <f aca="false">予算原本_白鳥惣菜!G46</f>
        <v>40835.3172</v>
      </c>
      <c r="I50" s="34" t="n">
        <f aca="false">予算原本_白鳥惣菜!H46</f>
        <v>37124.5974</v>
      </c>
      <c r="J50" s="34" t="n">
        <f aca="false">予算原本_白鳥惣菜!I46</f>
        <v>35166.72</v>
      </c>
      <c r="K50" s="34" t="n">
        <f aca="false">予算原本_白鳥惣菜!J46</f>
        <v>39837.3</v>
      </c>
      <c r="L50" s="34" t="n">
        <f aca="false">予算原本_白鳥惣菜!K46</f>
        <v>38174.4</v>
      </c>
      <c r="M50" s="34" t="n">
        <f aca="false">予算原本_白鳥惣菜!L46</f>
        <v>38656.4</v>
      </c>
      <c r="N50" s="34" t="n">
        <f aca="false">予算原本_白鳥惣菜!M46</f>
        <v>37451.4</v>
      </c>
      <c r="O50" s="93" t="n">
        <f aca="false">SUM(C50:N50)</f>
        <v>478356.774754164</v>
      </c>
      <c r="P50" s="93" t="n">
        <f aca="false">SUM(I50:N50)</f>
        <v>226410.8174</v>
      </c>
    </row>
    <row r="51" customFormat="false" ht="15" hidden="false" customHeight="false" outlineLevel="1" collapsed="false">
      <c r="B51" s="5" t="s">
        <v>363</v>
      </c>
      <c r="C51" s="107" t="n">
        <f aca="false">'実績原本_白鳥惣菜_7-9月'!B47</f>
        <v>0</v>
      </c>
      <c r="D51" s="107" t="n">
        <f aca="false">'実績原本_白鳥惣菜_7-9月'!C47</f>
        <v>0</v>
      </c>
      <c r="E51" s="107" t="n">
        <f aca="false">'実績原本_白鳥惣菜_7-9月'!D47</f>
        <v>0</v>
      </c>
      <c r="F51" s="107" t="n">
        <f aca="false">予算原本_白鳥惣菜!E47</f>
        <v>0</v>
      </c>
      <c r="G51" s="107" t="n">
        <f aca="false">予算原本_白鳥惣菜!F47</f>
        <v>0</v>
      </c>
      <c r="H51" s="107" t="n">
        <f aca="false">予算原本_白鳥惣菜!G47</f>
        <v>0</v>
      </c>
      <c r="I51" s="107" t="n">
        <f aca="false">予算原本_白鳥惣菜!H47</f>
        <v>0</v>
      </c>
      <c r="J51" s="107" t="n">
        <f aca="false">予算原本_白鳥惣菜!I47</f>
        <v>0</v>
      </c>
      <c r="K51" s="107" t="n">
        <f aca="false">予算原本_白鳥惣菜!J47</f>
        <v>0</v>
      </c>
      <c r="L51" s="107" t="n">
        <f aca="false">予算原本_白鳥惣菜!K47</f>
        <v>0</v>
      </c>
      <c r="M51" s="107" t="n">
        <f aca="false">予算原本_白鳥惣菜!L47</f>
        <v>0</v>
      </c>
      <c r="N51" s="107" t="n">
        <f aca="false">予算原本_白鳥惣菜!M47</f>
        <v>0</v>
      </c>
      <c r="O51" s="108" t="n">
        <f aca="false">IF(O49=0,0,O50/O49)</f>
        <v>0</v>
      </c>
      <c r="P51" s="108" t="n">
        <f aca="false">IF(P49=0,0,P50/P49)</f>
        <v>0</v>
      </c>
    </row>
    <row r="52" customFormat="false" ht="15" hidden="false" customHeight="false" outlineLevel="1" collapsed="false">
      <c r="B52" s="5" t="s">
        <v>364</v>
      </c>
      <c r="C52" s="107" t="n">
        <f aca="false">'実績原本_白鳥惣菜_7-9月'!B48</f>
        <v>0</v>
      </c>
      <c r="D52" s="107" t="n">
        <f aca="false">'実績原本_白鳥惣菜_7-9月'!C48</f>
        <v>0</v>
      </c>
      <c r="E52" s="107" t="n">
        <f aca="false">'実績原本_白鳥惣菜_7-9月'!D48</f>
        <v>0</v>
      </c>
      <c r="F52" s="107" t="n">
        <f aca="false">予算原本_白鳥惣菜!E48</f>
        <v>0</v>
      </c>
      <c r="G52" s="107" t="n">
        <f aca="false">予算原本_白鳥惣菜!F48</f>
        <v>0</v>
      </c>
      <c r="H52" s="107" t="n">
        <f aca="false">予算原本_白鳥惣菜!G48</f>
        <v>0</v>
      </c>
      <c r="I52" s="107" t="n">
        <f aca="false">予算原本_白鳥惣菜!H48</f>
        <v>0</v>
      </c>
      <c r="J52" s="107" t="n">
        <f aca="false">予算原本_白鳥惣菜!I48</f>
        <v>0</v>
      </c>
      <c r="K52" s="107" t="n">
        <f aca="false">予算原本_白鳥惣菜!J48</f>
        <v>0</v>
      </c>
      <c r="L52" s="107" t="n">
        <f aca="false">予算原本_白鳥惣菜!K48</f>
        <v>0</v>
      </c>
      <c r="M52" s="107" t="n">
        <f aca="false">予算原本_白鳥惣菜!L48</f>
        <v>0</v>
      </c>
      <c r="N52" s="107" t="n">
        <f aca="false">予算原本_白鳥惣菜!M48</f>
        <v>0</v>
      </c>
      <c r="O52" s="108" t="n">
        <f aca="false">IF(O50=0,0,O51/O50)</f>
        <v>0</v>
      </c>
      <c r="P52" s="108" t="n">
        <f aca="false">IF(P50=0,0,P51/P50)</f>
        <v>0</v>
      </c>
    </row>
    <row r="53" customFormat="false" ht="15" hidden="false" customHeight="false" outlineLevel="1" collapsed="false">
      <c r="B53" s="5" t="s">
        <v>365</v>
      </c>
      <c r="C53" s="34" t="n">
        <f aca="false">'実績原本_白鳥惣菜_7-9月'!B49</f>
        <v>7878.869</v>
      </c>
      <c r="D53" s="34" t="n">
        <f aca="false">'実績原本_白鳥惣菜_7-9月'!C49</f>
        <v>7542.759</v>
      </c>
      <c r="E53" s="34" t="n">
        <f aca="false">'実績原本_白鳥惣菜_7-9月'!D49</f>
        <v>8222.931</v>
      </c>
      <c r="F53" s="34" t="n">
        <f aca="false">予算原本_白鳥惣菜!E49</f>
        <v>8837</v>
      </c>
      <c r="G53" s="34" t="n">
        <f aca="false">予算原本_白鳥惣菜!F49</f>
        <v>8962</v>
      </c>
      <c r="H53" s="34" t="n">
        <f aca="false">予算原本_白鳥惣菜!G49</f>
        <v>8962</v>
      </c>
      <c r="I53" s="34" t="n">
        <f aca="false">予算原本_白鳥惣菜!H49</f>
        <v>8837</v>
      </c>
      <c r="J53" s="34" t="n">
        <f aca="false">予算原本_白鳥惣菜!I49</f>
        <v>8812</v>
      </c>
      <c r="K53" s="34" t="n">
        <f aca="false">予算原本_白鳥惣菜!J49</f>
        <v>8812</v>
      </c>
      <c r="L53" s="34" t="n">
        <f aca="false">予算原本_白鳥惣菜!K49</f>
        <v>8812</v>
      </c>
      <c r="M53" s="34" t="n">
        <f aca="false">予算原本_白鳥惣菜!L49</f>
        <v>8812</v>
      </c>
      <c r="N53" s="34" t="n">
        <f aca="false">予算原本_白鳥惣菜!M49</f>
        <v>8962</v>
      </c>
      <c r="O53" s="93" t="n">
        <f aca="false">SUM(C53:N53)</f>
        <v>103452.559</v>
      </c>
      <c r="P53" s="93" t="n">
        <f aca="false">SUM(I53:N53)</f>
        <v>53047</v>
      </c>
    </row>
    <row r="54" customFormat="false" ht="15" hidden="false" customHeight="false" outlineLevel="1" collapsed="false">
      <c r="B54" s="5" t="s">
        <v>366</v>
      </c>
      <c r="C54" s="34" t="n">
        <f aca="false">'実績原本_白鳥惣菜_7-9月'!B50</f>
        <v>0</v>
      </c>
      <c r="D54" s="34" t="n">
        <f aca="false">'実績原本_白鳥惣菜_7-9月'!C50</f>
        <v>0</v>
      </c>
      <c r="E54" s="34" t="n">
        <f aca="false">'実績原本_白鳥惣菜_7-9月'!D50</f>
        <v>0</v>
      </c>
      <c r="F54" s="34" t="n">
        <f aca="false">予算原本_白鳥惣菜!E50</f>
        <v>0</v>
      </c>
      <c r="G54" s="34" t="n">
        <f aca="false">予算原本_白鳥惣菜!F50</f>
        <v>0</v>
      </c>
      <c r="H54" s="34" t="n">
        <f aca="false">予算原本_白鳥惣菜!G50</f>
        <v>0</v>
      </c>
      <c r="I54" s="34" t="n">
        <f aca="false">予算原本_白鳥惣菜!H50</f>
        <v>0</v>
      </c>
      <c r="J54" s="34" t="n">
        <f aca="false">予算原本_白鳥惣菜!I50</f>
        <v>0</v>
      </c>
      <c r="K54" s="34" t="n">
        <f aca="false">予算原本_白鳥惣菜!J50</f>
        <v>0</v>
      </c>
      <c r="L54" s="34" t="n">
        <f aca="false">予算原本_白鳥惣菜!K50</f>
        <v>0</v>
      </c>
      <c r="M54" s="34" t="n">
        <f aca="false">予算原本_白鳥惣菜!L50</f>
        <v>0</v>
      </c>
      <c r="N54" s="34" t="n">
        <f aca="false">予算原本_白鳥惣菜!M50</f>
        <v>0</v>
      </c>
      <c r="O54" s="93" t="n">
        <f aca="false">SUM(C54:N54)</f>
        <v>0</v>
      </c>
      <c r="P54" s="93" t="n">
        <f aca="false">SUM(I54:N54)</f>
        <v>0</v>
      </c>
    </row>
    <row r="55" customFormat="false" ht="15" hidden="false" customHeight="false" outlineLevel="1" collapsed="false">
      <c r="B55" s="5" t="s">
        <v>367</v>
      </c>
      <c r="C55" s="34" t="n">
        <f aca="false">'実績原本_白鳥惣菜_7-9月'!B51</f>
        <v>0</v>
      </c>
      <c r="D55" s="34" t="n">
        <f aca="false">'実績原本_白鳥惣菜_7-9月'!C51</f>
        <v>0</v>
      </c>
      <c r="E55" s="34" t="n">
        <f aca="false">'実績原本_白鳥惣菜_7-9月'!D51</f>
        <v>0</v>
      </c>
      <c r="F55" s="34" t="n">
        <f aca="false">予算原本_白鳥惣菜!E51</f>
        <v>0</v>
      </c>
      <c r="G55" s="34" t="n">
        <f aca="false">予算原本_白鳥惣菜!F51</f>
        <v>0</v>
      </c>
      <c r="H55" s="34" t="n">
        <f aca="false">予算原本_白鳥惣菜!G51</f>
        <v>0</v>
      </c>
      <c r="I55" s="34" t="n">
        <f aca="false">予算原本_白鳥惣菜!H51</f>
        <v>0</v>
      </c>
      <c r="J55" s="34" t="n">
        <f aca="false">予算原本_白鳥惣菜!I51</f>
        <v>0</v>
      </c>
      <c r="K55" s="34" t="n">
        <f aca="false">予算原本_白鳥惣菜!J51</f>
        <v>0</v>
      </c>
      <c r="L55" s="34" t="n">
        <f aca="false">予算原本_白鳥惣菜!K51</f>
        <v>0</v>
      </c>
      <c r="M55" s="34" t="n">
        <f aca="false">予算原本_白鳥惣菜!L51</f>
        <v>0</v>
      </c>
      <c r="N55" s="34" t="n">
        <f aca="false">予算原本_白鳥惣菜!M51</f>
        <v>0</v>
      </c>
      <c r="O55" s="93" t="n">
        <f aca="false">SUM(C55:N55)</f>
        <v>0</v>
      </c>
      <c r="P55" s="93" t="n">
        <f aca="false">SUM(I55:N55)</f>
        <v>0</v>
      </c>
    </row>
    <row r="56" customFormat="false" ht="15" hidden="false" customHeight="false" outlineLevel="1" collapsed="false">
      <c r="B56" s="5" t="s">
        <v>368</v>
      </c>
      <c r="C56" s="34" t="n">
        <f aca="false">'実績原本_白鳥惣菜_7-9月'!B52</f>
        <v>1059.403</v>
      </c>
      <c r="D56" s="34" t="n">
        <f aca="false">'実績原本_白鳥惣菜_7-9月'!C52</f>
        <v>1061.529</v>
      </c>
      <c r="E56" s="34" t="n">
        <f aca="false">'実績原本_白鳥惣菜_7-9月'!D52</f>
        <v>1062.592</v>
      </c>
      <c r="F56" s="34" t="n">
        <f aca="false">予算原本_白鳥惣菜!E52</f>
        <v>1032</v>
      </c>
      <c r="G56" s="34" t="n">
        <f aca="false">予算原本_白鳥惣菜!F52</f>
        <v>1032</v>
      </c>
      <c r="H56" s="34" t="n">
        <f aca="false">予算原本_白鳥惣菜!G52</f>
        <v>1032</v>
      </c>
      <c r="I56" s="34" t="n">
        <f aca="false">予算原本_白鳥惣菜!H52</f>
        <v>1032</v>
      </c>
      <c r="J56" s="34" t="n">
        <f aca="false">予算原本_白鳥惣菜!I52</f>
        <v>1032</v>
      </c>
      <c r="K56" s="34" t="n">
        <f aca="false">予算原本_白鳥惣菜!J52</f>
        <v>1032</v>
      </c>
      <c r="L56" s="34" t="n">
        <f aca="false">予算原本_白鳥惣菜!K52</f>
        <v>1032</v>
      </c>
      <c r="M56" s="34" t="n">
        <f aca="false">予算原本_白鳥惣菜!L52</f>
        <v>1032</v>
      </c>
      <c r="N56" s="34" t="n">
        <f aca="false">予算原本_白鳥惣菜!M52</f>
        <v>1032</v>
      </c>
      <c r="O56" s="93" t="n">
        <f aca="false">SUM(C56:N56)</f>
        <v>12471.524</v>
      </c>
      <c r="P56" s="93" t="n">
        <f aca="false">SUM(I56:N56)</f>
        <v>6192</v>
      </c>
    </row>
    <row r="57" customFormat="false" ht="15" hidden="false" customHeight="false" outlineLevel="1" collapsed="false">
      <c r="B57" s="5" t="s">
        <v>369</v>
      </c>
      <c r="C57" s="34" t="n">
        <f aca="false">'実績原本_白鳥惣菜_7-9月'!B53</f>
        <v>0</v>
      </c>
      <c r="D57" s="34" t="n">
        <f aca="false">'実績原本_白鳥惣菜_7-9月'!C53</f>
        <v>0</v>
      </c>
      <c r="E57" s="34" t="n">
        <f aca="false">'実績原本_白鳥惣菜_7-9月'!D53</f>
        <v>0</v>
      </c>
      <c r="F57" s="34" t="n">
        <f aca="false">予算原本_白鳥惣菜!E53</f>
        <v>0</v>
      </c>
      <c r="G57" s="34" t="n">
        <f aca="false">予算原本_白鳥惣菜!F53</f>
        <v>0</v>
      </c>
      <c r="H57" s="34" t="n">
        <f aca="false">予算原本_白鳥惣菜!G53</f>
        <v>0</v>
      </c>
      <c r="I57" s="34" t="n">
        <f aca="false">予算原本_白鳥惣菜!H53</f>
        <v>0</v>
      </c>
      <c r="J57" s="34" t="n">
        <f aca="false">予算原本_白鳥惣菜!I53</f>
        <v>0</v>
      </c>
      <c r="K57" s="34" t="n">
        <f aca="false">予算原本_白鳥惣菜!J53</f>
        <v>0</v>
      </c>
      <c r="L57" s="34" t="n">
        <f aca="false">予算原本_白鳥惣菜!K53</f>
        <v>0</v>
      </c>
      <c r="M57" s="34" t="n">
        <f aca="false">予算原本_白鳥惣菜!L53</f>
        <v>0</v>
      </c>
      <c r="N57" s="34" t="n">
        <f aca="false">予算原本_白鳥惣菜!M53</f>
        <v>0</v>
      </c>
      <c r="O57" s="93" t="n">
        <f aca="false">SUM(C57:N57)</f>
        <v>0</v>
      </c>
      <c r="P57" s="93" t="n">
        <f aca="false">SUM(I57:N57)</f>
        <v>0</v>
      </c>
    </row>
    <row r="58" customFormat="false" ht="15" hidden="false" customHeight="false" outlineLevel="1" collapsed="false">
      <c r="B58" s="5" t="s">
        <v>370</v>
      </c>
      <c r="C58" s="34" t="n">
        <f aca="false">'実績原本_白鳥惣菜_7-9月'!B54</f>
        <v>0</v>
      </c>
      <c r="D58" s="34" t="n">
        <f aca="false">'実績原本_白鳥惣菜_7-9月'!C54</f>
        <v>0</v>
      </c>
      <c r="E58" s="34" t="n">
        <f aca="false">'実績原本_白鳥惣菜_7-9月'!D54</f>
        <v>0</v>
      </c>
      <c r="F58" s="34" t="n">
        <f aca="false">予算原本_白鳥惣菜!E54</f>
        <v>10</v>
      </c>
      <c r="G58" s="34" t="n">
        <f aca="false">予算原本_白鳥惣菜!F54</f>
        <v>10</v>
      </c>
      <c r="H58" s="34" t="n">
        <f aca="false">予算原本_白鳥惣菜!G54</f>
        <v>10</v>
      </c>
      <c r="I58" s="34" t="n">
        <f aca="false">予算原本_白鳥惣菜!H54</f>
        <v>10</v>
      </c>
      <c r="J58" s="34" t="n">
        <f aca="false">予算原本_白鳥惣菜!I54</f>
        <v>10</v>
      </c>
      <c r="K58" s="34" t="n">
        <f aca="false">予算原本_白鳥惣菜!J54</f>
        <v>10</v>
      </c>
      <c r="L58" s="34" t="n">
        <f aca="false">予算原本_白鳥惣菜!K54</f>
        <v>10</v>
      </c>
      <c r="M58" s="34" t="n">
        <f aca="false">予算原本_白鳥惣菜!L54</f>
        <v>10</v>
      </c>
      <c r="N58" s="34" t="n">
        <f aca="false">予算原本_白鳥惣菜!M54</f>
        <v>10</v>
      </c>
      <c r="O58" s="93" t="n">
        <f aca="false">SUM(C58:N58)</f>
        <v>90</v>
      </c>
      <c r="P58" s="93" t="n">
        <f aca="false">SUM(I58:N58)</f>
        <v>60</v>
      </c>
    </row>
    <row r="59" customFormat="false" ht="15" hidden="false" customHeight="false" outlineLevel="1" collapsed="false">
      <c r="B59" s="5" t="s">
        <v>371</v>
      </c>
      <c r="C59" s="34" t="n">
        <f aca="false">'実績原本_白鳥惣菜_7-9月'!B55</f>
        <v>7403.246</v>
      </c>
      <c r="D59" s="34" t="n">
        <f aca="false">'実績原本_白鳥惣菜_7-9月'!C55</f>
        <v>7403.24</v>
      </c>
      <c r="E59" s="34" t="n">
        <f aca="false">'実績原本_白鳥惣菜_7-9月'!D55</f>
        <v>7403.251</v>
      </c>
      <c r="F59" s="34" t="n">
        <f aca="false">予算原本_白鳥惣菜!E55</f>
        <v>11393.2283</v>
      </c>
      <c r="G59" s="34" t="n">
        <f aca="false">予算原本_白鳥惣菜!F55</f>
        <v>12143.2283</v>
      </c>
      <c r="H59" s="34" t="n">
        <f aca="false">予算原本_白鳥惣菜!G55</f>
        <v>12226.5617</v>
      </c>
      <c r="I59" s="34" t="n">
        <f aca="false">予算原本_白鳥惣菜!H55</f>
        <v>12226.5617</v>
      </c>
      <c r="J59" s="34" t="n">
        <f aca="false">予算原本_白鳥惣菜!I55</f>
        <v>12476.5617</v>
      </c>
      <c r="K59" s="34" t="n">
        <f aca="false">予算原本_白鳥惣菜!J55</f>
        <v>12476.5617</v>
      </c>
      <c r="L59" s="34" t="n">
        <f aca="false">予算原本_白鳥惣菜!K55</f>
        <v>12476.5617</v>
      </c>
      <c r="M59" s="34" t="n">
        <f aca="false">予算原本_白鳥惣菜!L55</f>
        <v>12476.5617</v>
      </c>
      <c r="N59" s="34" t="n">
        <f aca="false">予算原本_白鳥惣菜!M55</f>
        <v>12476.5617</v>
      </c>
      <c r="O59" s="93" t="n">
        <f aca="false">SUM(C59:N59)</f>
        <v>132582.1255</v>
      </c>
      <c r="P59" s="93" t="n">
        <f aca="false">SUM(I59:N59)</f>
        <v>74609.3702</v>
      </c>
    </row>
    <row r="60" customFormat="false" ht="15" hidden="false" customHeight="false" outlineLevel="1" collapsed="false">
      <c r="B60" s="5" t="s">
        <v>372</v>
      </c>
      <c r="C60" s="34" t="n">
        <f aca="false">'実績原本_白鳥惣菜_7-9月'!B56</f>
        <v>2135.419</v>
      </c>
      <c r="D60" s="34" t="n">
        <f aca="false">'実績原本_白鳥惣菜_7-9月'!C56</f>
        <v>5352.73866666667</v>
      </c>
      <c r="E60" s="34" t="n">
        <f aca="false">'実績原本_白鳥惣菜_7-9月'!D56</f>
        <v>1958.16266666667</v>
      </c>
      <c r="F60" s="34" t="n">
        <f aca="false">予算原本_白鳥惣菜!E56</f>
        <v>1160</v>
      </c>
      <c r="G60" s="34" t="n">
        <f aca="false">予算原本_白鳥惣菜!F56</f>
        <v>1506</v>
      </c>
      <c r="H60" s="34" t="n">
        <f aca="false">予算原本_白鳥惣菜!G56</f>
        <v>1605</v>
      </c>
      <c r="I60" s="34" t="n">
        <f aca="false">予算原本_白鳥惣菜!H56</f>
        <v>1285</v>
      </c>
      <c r="J60" s="34" t="n">
        <f aca="false">予算原本_白鳥惣菜!I56</f>
        <v>1160</v>
      </c>
      <c r="K60" s="34" t="n">
        <f aca="false">予算原本_白鳥惣菜!J56</f>
        <v>1190</v>
      </c>
      <c r="L60" s="34" t="n">
        <f aca="false">予算原本_白鳥惣菜!K56</f>
        <v>1160</v>
      </c>
      <c r="M60" s="34" t="n">
        <f aca="false">予算原本_白鳥惣菜!L56</f>
        <v>1324</v>
      </c>
      <c r="N60" s="34" t="n">
        <f aca="false">予算原本_白鳥惣菜!M56</f>
        <v>1741</v>
      </c>
      <c r="O60" s="93" t="n">
        <f aca="false">SUM(C60:N60)</f>
        <v>21577.3203333333</v>
      </c>
      <c r="P60" s="93" t="n">
        <f aca="false">SUM(I60:N60)</f>
        <v>7860</v>
      </c>
    </row>
    <row r="61" customFormat="false" ht="15" hidden="false" customHeight="false" outlineLevel="1" collapsed="false">
      <c r="B61" s="5" t="s">
        <v>373</v>
      </c>
      <c r="C61" s="34" t="n">
        <f aca="false">'実績原本_白鳥惣菜_7-9月'!B57</f>
        <v>3202.859</v>
      </c>
      <c r="D61" s="34" t="n">
        <f aca="false">'実績原本_白鳥惣菜_7-9月'!C57</f>
        <v>3019.609</v>
      </c>
      <c r="E61" s="34" t="n">
        <f aca="false">'実績原本_白鳥惣菜_7-9月'!D57</f>
        <v>-3869.555</v>
      </c>
      <c r="F61" s="34" t="n">
        <f aca="false">予算原本_白鳥惣菜!E57</f>
        <v>300</v>
      </c>
      <c r="G61" s="34" t="n">
        <f aca="false">予算原本_白鳥惣菜!F57</f>
        <v>300</v>
      </c>
      <c r="H61" s="34" t="n">
        <f aca="false">予算原本_白鳥惣菜!G57</f>
        <v>300</v>
      </c>
      <c r="I61" s="34" t="n">
        <f aca="false">予算原本_白鳥惣菜!H57</f>
        <v>300</v>
      </c>
      <c r="J61" s="34" t="n">
        <f aca="false">予算原本_白鳥惣菜!I57</f>
        <v>300</v>
      </c>
      <c r="K61" s="34" t="n">
        <f aca="false">予算原本_白鳥惣菜!J57</f>
        <v>300</v>
      </c>
      <c r="L61" s="34" t="n">
        <f aca="false">予算原本_白鳥惣菜!K57</f>
        <v>300</v>
      </c>
      <c r="M61" s="34" t="n">
        <f aca="false">予算原本_白鳥惣菜!L57</f>
        <v>300</v>
      </c>
      <c r="N61" s="34" t="n">
        <f aca="false">予算原本_白鳥惣菜!M57</f>
        <v>300</v>
      </c>
      <c r="O61" s="93" t="n">
        <f aca="false">SUM(C61:N61)</f>
        <v>5052.913</v>
      </c>
      <c r="P61" s="93" t="n">
        <f aca="false">SUM(I61:N61)</f>
        <v>1800</v>
      </c>
    </row>
    <row r="62" customFormat="false" ht="15" hidden="false" customHeight="false" outlineLevel="0" collapsed="false">
      <c r="B62" s="12" t="s">
        <v>374</v>
      </c>
      <c r="C62" s="106" t="n">
        <f aca="false">'実績原本_白鳥惣菜_7-9月'!B58</f>
        <v>264977.18753</v>
      </c>
      <c r="D62" s="106" t="n">
        <f aca="false">'実績原本_白鳥惣菜_7-9月'!C58</f>
        <v>260436.326496061</v>
      </c>
      <c r="E62" s="106" t="n">
        <f aca="false">'実績原本_白鳥惣菜_7-9月'!D58</f>
        <v>248574.112867498</v>
      </c>
      <c r="F62" s="106" t="n">
        <f aca="false">予算原本_白鳥惣菜!E58</f>
        <v>218565.5078</v>
      </c>
      <c r="G62" s="106" t="n">
        <f aca="false">予算原本_白鳥惣菜!F58</f>
        <v>208982.0724</v>
      </c>
      <c r="H62" s="106" t="n">
        <f aca="false">予算原本_白鳥惣菜!G58</f>
        <v>232441.4789</v>
      </c>
      <c r="I62" s="106" t="n">
        <f aca="false">予算原本_白鳥惣菜!H58</f>
        <v>221115.7591</v>
      </c>
      <c r="J62" s="106" t="n">
        <f aca="false">予算原本_白鳥惣菜!I58</f>
        <v>209676.8817</v>
      </c>
      <c r="K62" s="106" t="n">
        <f aca="false">予算原本_白鳥惣菜!J58</f>
        <v>231054.4617</v>
      </c>
      <c r="L62" s="106" t="n">
        <f aca="false">予算原本_白鳥惣菜!K58</f>
        <v>221039.5617</v>
      </c>
      <c r="M62" s="106" t="n">
        <f aca="false">予算原本_白鳥惣菜!L58</f>
        <v>225189.5617</v>
      </c>
      <c r="N62" s="106" t="n">
        <f aca="false">予算原本_白鳥惣菜!M58</f>
        <v>222969.5617</v>
      </c>
      <c r="O62" s="93" t="n">
        <f aca="false">SUM(C62:N62)</f>
        <v>2765022.47359356</v>
      </c>
      <c r="P62" s="93" t="n">
        <f aca="false">SUM(I62:N62)</f>
        <v>1331045.7876</v>
      </c>
    </row>
    <row r="63" customFormat="false" ht="15" hidden="false" customHeight="false" outlineLevel="0" collapsed="false">
      <c r="B63" s="5" t="s">
        <v>375</v>
      </c>
      <c r="C63" s="34" t="n">
        <f aca="false">'実績原本_白鳥惣菜_7-9月'!B59</f>
        <v>0</v>
      </c>
      <c r="D63" s="34" t="n">
        <f aca="false">'実績原本_白鳥惣菜_7-9月'!C59</f>
        <v>0</v>
      </c>
      <c r="E63" s="34" t="n">
        <f aca="false">'実績原本_白鳥惣菜_7-9月'!D59</f>
        <v>0</v>
      </c>
      <c r="F63" s="34" t="n">
        <f aca="false">予算原本_白鳥惣菜!E59</f>
        <v>0</v>
      </c>
      <c r="G63" s="34" t="n">
        <f aca="false">予算原本_白鳥惣菜!F59</f>
        <v>0</v>
      </c>
      <c r="H63" s="34" t="n">
        <f aca="false">予算原本_白鳥惣菜!G59</f>
        <v>0</v>
      </c>
      <c r="I63" s="34" t="n">
        <f aca="false">予算原本_白鳥惣菜!H59</f>
        <v>0</v>
      </c>
      <c r="J63" s="34" t="n">
        <f aca="false">予算原本_白鳥惣菜!I59</f>
        <v>0</v>
      </c>
      <c r="K63" s="34" t="n">
        <f aca="false">予算原本_白鳥惣菜!J59</f>
        <v>0</v>
      </c>
      <c r="L63" s="34" t="n">
        <f aca="false">予算原本_白鳥惣菜!K59</f>
        <v>0</v>
      </c>
      <c r="M63" s="34" t="n">
        <f aca="false">予算原本_白鳥惣菜!L59</f>
        <v>0</v>
      </c>
      <c r="N63" s="34" t="n">
        <f aca="false">予算原本_白鳥惣菜!M59</f>
        <v>0</v>
      </c>
      <c r="O63" s="93" t="n">
        <f aca="false">SUM(C63:N63)</f>
        <v>0</v>
      </c>
      <c r="P63" s="93" t="n">
        <f aca="false">SUM(I63:N63)</f>
        <v>0</v>
      </c>
    </row>
    <row r="64" customFormat="false" ht="15" hidden="false" customHeight="false" outlineLevel="0" collapsed="false">
      <c r="B64" s="12" t="s">
        <v>376</v>
      </c>
      <c r="C64" s="106" t="n">
        <f aca="false">'実績原本_白鳥惣菜_7-9月'!B60</f>
        <v>-21486.8881962976</v>
      </c>
      <c r="D64" s="106" t="n">
        <f aca="false">'実績原本_白鳥惣菜_7-9月'!C60</f>
        <v>21593.9289785419</v>
      </c>
      <c r="E64" s="106" t="n">
        <f aca="false">'実績原本_白鳥惣菜_7-9月'!D60</f>
        <v>-1617.35315351357</v>
      </c>
      <c r="F64" s="106" t="n">
        <f aca="false">予算原本_白鳥惣菜!E60</f>
        <v>1098.96319999997</v>
      </c>
      <c r="G64" s="106" t="n">
        <f aca="false">予算原本_白鳥惣菜!F60</f>
        <v>4249.44759999999</v>
      </c>
      <c r="H64" s="106" t="n">
        <f aca="false">予算原本_白鳥惣菜!G60</f>
        <v>8054.27110000001</v>
      </c>
      <c r="I64" s="106" t="n">
        <f aca="false">予算原本_白鳥惣菜!H60</f>
        <v>-2319.89610000001</v>
      </c>
      <c r="J64" s="106" t="n">
        <f aca="false">予算原本_白鳥惣菜!I60</f>
        <v>-2565.48170000003</v>
      </c>
      <c r="K64" s="106" t="n">
        <f aca="false">予算原本_白鳥惣菜!J60</f>
        <v>3454.53829999999</v>
      </c>
      <c r="L64" s="106" t="n">
        <f aca="false">予算原本_白鳥惣菜!K60</f>
        <v>3740.43829999998</v>
      </c>
      <c r="M64" s="106" t="n">
        <f aca="false">予算原本_白鳥惣菜!L60</f>
        <v>2410.43829999998</v>
      </c>
      <c r="N64" s="106" t="n">
        <f aca="false">予算原本_白鳥惣菜!M60</f>
        <v>-3722.29310000001</v>
      </c>
      <c r="O64" s="93" t="n">
        <f aca="false">SUM(C64:N64)</f>
        <v>12890.1135287306</v>
      </c>
      <c r="P64" s="93" t="n">
        <f aca="false">SUM(I64:N64)</f>
        <v>997.74399999989</v>
      </c>
    </row>
    <row r="65" customFormat="false" ht="15" hidden="false" customHeight="false" outlineLevel="1" collapsed="false">
      <c r="B65" s="5" t="s">
        <v>377</v>
      </c>
      <c r="C65" s="34" t="n">
        <f aca="false">'実績原本_白鳥惣菜_7-9月'!B61</f>
        <v>0.058</v>
      </c>
      <c r="D65" s="34" t="n">
        <f aca="false">'実績原本_白鳥惣菜_7-9月'!C61</f>
        <v>15.82</v>
      </c>
      <c r="E65" s="34" t="n">
        <f aca="false">'実績原本_白鳥惣菜_7-9月'!D61</f>
        <v>0</v>
      </c>
      <c r="F65" s="34" t="n">
        <f aca="false">予算原本_白鳥惣菜!E61</f>
        <v>0</v>
      </c>
      <c r="G65" s="34" t="n">
        <f aca="false">予算原本_白鳥惣菜!F61</f>
        <v>0</v>
      </c>
      <c r="H65" s="34" t="n">
        <f aca="false">予算原本_白鳥惣菜!G61</f>
        <v>0</v>
      </c>
      <c r="I65" s="34" t="n">
        <f aca="false">予算原本_白鳥惣菜!H61</f>
        <v>0</v>
      </c>
      <c r="J65" s="34" t="n">
        <f aca="false">予算原本_白鳥惣菜!I61</f>
        <v>0</v>
      </c>
      <c r="K65" s="34" t="n">
        <f aca="false">予算原本_白鳥惣菜!J61</f>
        <v>0</v>
      </c>
      <c r="L65" s="34" t="n">
        <f aca="false">予算原本_白鳥惣菜!K61</f>
        <v>0</v>
      </c>
      <c r="M65" s="34" t="n">
        <f aca="false">予算原本_白鳥惣菜!L61</f>
        <v>0</v>
      </c>
      <c r="N65" s="34" t="n">
        <f aca="false">予算原本_白鳥惣菜!M61</f>
        <v>0</v>
      </c>
      <c r="O65" s="93" t="n">
        <f aca="false">SUM(C65:N65)</f>
        <v>15.878</v>
      </c>
      <c r="P65" s="93" t="n">
        <f aca="false">SUM(I65:N65)</f>
        <v>0</v>
      </c>
    </row>
    <row r="66" customFormat="false" ht="15" hidden="false" customHeight="false" outlineLevel="1" collapsed="false">
      <c r="B66" s="5" t="s">
        <v>378</v>
      </c>
      <c r="C66" s="34" t="n">
        <f aca="false">'実績原本_白鳥惣菜_7-9月'!B62</f>
        <v>0</v>
      </c>
      <c r="D66" s="34" t="n">
        <f aca="false">'実績原本_白鳥惣菜_7-9月'!C62</f>
        <v>0</v>
      </c>
      <c r="E66" s="34" t="n">
        <f aca="false">'実績原本_白鳥惣菜_7-9月'!D62</f>
        <v>0</v>
      </c>
      <c r="F66" s="34" t="n">
        <f aca="false">予算原本_白鳥惣菜!E62</f>
        <v>0</v>
      </c>
      <c r="G66" s="34" t="n">
        <f aca="false">予算原本_白鳥惣菜!F62</f>
        <v>0</v>
      </c>
      <c r="H66" s="34" t="n">
        <f aca="false">予算原本_白鳥惣菜!G62</f>
        <v>0</v>
      </c>
      <c r="I66" s="34" t="n">
        <f aca="false">予算原本_白鳥惣菜!H62</f>
        <v>0</v>
      </c>
      <c r="J66" s="34" t="n">
        <f aca="false">予算原本_白鳥惣菜!I62</f>
        <v>0</v>
      </c>
      <c r="K66" s="34" t="n">
        <f aca="false">予算原本_白鳥惣菜!J62</f>
        <v>0</v>
      </c>
      <c r="L66" s="34" t="n">
        <f aca="false">予算原本_白鳥惣菜!K62</f>
        <v>0</v>
      </c>
      <c r="M66" s="34" t="n">
        <f aca="false">予算原本_白鳥惣菜!L62</f>
        <v>0</v>
      </c>
      <c r="N66" s="34" t="n">
        <f aca="false">予算原本_白鳥惣菜!M62</f>
        <v>0</v>
      </c>
      <c r="O66" s="93" t="n">
        <f aca="false">SUM(C66:N66)</f>
        <v>0</v>
      </c>
      <c r="P66" s="93" t="n">
        <f aca="false">SUM(I66:N66)</f>
        <v>0</v>
      </c>
    </row>
    <row r="67" customFormat="false" ht="15" hidden="false" customHeight="false" outlineLevel="1" collapsed="false">
      <c r="B67" s="5" t="s">
        <v>379</v>
      </c>
      <c r="C67" s="34" t="n">
        <f aca="false">'実績原本_白鳥惣菜_7-9月'!B63</f>
        <v>0</v>
      </c>
      <c r="D67" s="34" t="n">
        <f aca="false">'実績原本_白鳥惣菜_7-9月'!C63</f>
        <v>0</v>
      </c>
      <c r="E67" s="34" t="n">
        <f aca="false">'実績原本_白鳥惣菜_7-9月'!D63</f>
        <v>0</v>
      </c>
      <c r="F67" s="34" t="n">
        <f aca="false">予算原本_白鳥惣菜!E63</f>
        <v>0</v>
      </c>
      <c r="G67" s="34" t="n">
        <f aca="false">予算原本_白鳥惣菜!F63</f>
        <v>0</v>
      </c>
      <c r="H67" s="34" t="n">
        <f aca="false">予算原本_白鳥惣菜!G63</f>
        <v>0</v>
      </c>
      <c r="I67" s="34" t="n">
        <f aca="false">予算原本_白鳥惣菜!H63</f>
        <v>0</v>
      </c>
      <c r="J67" s="34" t="n">
        <f aca="false">予算原本_白鳥惣菜!I63</f>
        <v>0</v>
      </c>
      <c r="K67" s="34" t="n">
        <f aca="false">予算原本_白鳥惣菜!J63</f>
        <v>0</v>
      </c>
      <c r="L67" s="34" t="n">
        <f aca="false">予算原本_白鳥惣菜!K63</f>
        <v>0</v>
      </c>
      <c r="M67" s="34" t="n">
        <f aca="false">予算原本_白鳥惣菜!L63</f>
        <v>0</v>
      </c>
      <c r="N67" s="34" t="n">
        <f aca="false">予算原本_白鳥惣菜!M63</f>
        <v>0</v>
      </c>
      <c r="O67" s="93" t="n">
        <f aca="false">SUM(C67:N67)</f>
        <v>0</v>
      </c>
      <c r="P67" s="93" t="n">
        <f aca="false">SUM(I67:N67)</f>
        <v>0</v>
      </c>
    </row>
    <row r="68" customFormat="false" ht="15" hidden="false" customHeight="false" outlineLevel="1" collapsed="false">
      <c r="B68" s="5" t="s">
        <v>380</v>
      </c>
      <c r="C68" s="34" t="n">
        <f aca="false">'実績原本_白鳥惣菜_7-9月'!B64</f>
        <v>0</v>
      </c>
      <c r="D68" s="34" t="n">
        <f aca="false">'実績原本_白鳥惣菜_7-9月'!C64</f>
        <v>0</v>
      </c>
      <c r="E68" s="34" t="n">
        <f aca="false">'実績原本_白鳥惣菜_7-9月'!D64</f>
        <v>0</v>
      </c>
      <c r="F68" s="34" t="n">
        <f aca="false">予算原本_白鳥惣菜!E64</f>
        <v>0</v>
      </c>
      <c r="G68" s="34" t="n">
        <f aca="false">予算原本_白鳥惣菜!F64</f>
        <v>0</v>
      </c>
      <c r="H68" s="34" t="n">
        <f aca="false">予算原本_白鳥惣菜!G64</f>
        <v>0</v>
      </c>
      <c r="I68" s="34" t="n">
        <f aca="false">予算原本_白鳥惣菜!H64</f>
        <v>0</v>
      </c>
      <c r="J68" s="34" t="n">
        <f aca="false">予算原本_白鳥惣菜!I64</f>
        <v>0</v>
      </c>
      <c r="K68" s="34" t="n">
        <f aca="false">予算原本_白鳥惣菜!J64</f>
        <v>0</v>
      </c>
      <c r="L68" s="34" t="n">
        <f aca="false">予算原本_白鳥惣菜!K64</f>
        <v>0</v>
      </c>
      <c r="M68" s="34" t="n">
        <f aca="false">予算原本_白鳥惣菜!L64</f>
        <v>0</v>
      </c>
      <c r="N68" s="34" t="n">
        <f aca="false">予算原本_白鳥惣菜!M64</f>
        <v>0</v>
      </c>
      <c r="O68" s="93" t="n">
        <f aca="false">SUM(C68:N68)</f>
        <v>0</v>
      </c>
      <c r="P68" s="93" t="n">
        <f aca="false">SUM(I68:N68)</f>
        <v>0</v>
      </c>
    </row>
    <row r="69" customFormat="false" ht="15" hidden="false" customHeight="false" outlineLevel="1" collapsed="false">
      <c r="B69" s="5" t="s">
        <v>381</v>
      </c>
      <c r="C69" s="34" t="n">
        <f aca="false">'実績原本_白鳥惣菜_7-9月'!B65</f>
        <v>0</v>
      </c>
      <c r="D69" s="34" t="n">
        <f aca="false">'実績原本_白鳥惣菜_7-9月'!C65</f>
        <v>0</v>
      </c>
      <c r="E69" s="34" t="n">
        <f aca="false">'実績原本_白鳥惣菜_7-9月'!D65</f>
        <v>0</v>
      </c>
      <c r="F69" s="34" t="n">
        <f aca="false">予算原本_白鳥惣菜!E65</f>
        <v>0</v>
      </c>
      <c r="G69" s="34" t="n">
        <f aca="false">予算原本_白鳥惣菜!F65</f>
        <v>0</v>
      </c>
      <c r="H69" s="34" t="n">
        <f aca="false">予算原本_白鳥惣菜!G65</f>
        <v>0</v>
      </c>
      <c r="I69" s="34" t="n">
        <f aca="false">予算原本_白鳥惣菜!H65</f>
        <v>0</v>
      </c>
      <c r="J69" s="34" t="n">
        <f aca="false">予算原本_白鳥惣菜!I65</f>
        <v>0</v>
      </c>
      <c r="K69" s="34" t="n">
        <f aca="false">予算原本_白鳥惣菜!J65</f>
        <v>0</v>
      </c>
      <c r="L69" s="34" t="n">
        <f aca="false">予算原本_白鳥惣菜!K65</f>
        <v>0</v>
      </c>
      <c r="M69" s="34" t="n">
        <f aca="false">予算原本_白鳥惣菜!L65</f>
        <v>0</v>
      </c>
      <c r="N69" s="34" t="n">
        <f aca="false">予算原本_白鳥惣菜!M65</f>
        <v>0</v>
      </c>
      <c r="O69" s="93" t="n">
        <f aca="false">SUM(C69:N69)</f>
        <v>0</v>
      </c>
      <c r="P69" s="93" t="n">
        <f aca="false">SUM(I69:N69)</f>
        <v>0</v>
      </c>
    </row>
    <row r="70" customFormat="false" ht="15" hidden="false" customHeight="false" outlineLevel="0" collapsed="false">
      <c r="B70" s="109" t="s">
        <v>382</v>
      </c>
      <c r="C70" s="110" t="n">
        <f aca="false">'実績原本_白鳥惣菜_7-9月'!B66</f>
        <v>-21486.8301962976</v>
      </c>
      <c r="D70" s="110" t="n">
        <f aca="false">'実績原本_白鳥惣菜_7-9月'!C66</f>
        <v>21609.7489785419</v>
      </c>
      <c r="E70" s="110" t="n">
        <f aca="false">'実績原本_白鳥惣菜_7-9月'!D66</f>
        <v>-1617.35315351357</v>
      </c>
      <c r="F70" s="110" t="n">
        <f aca="false">予算原本_白鳥惣菜!E66</f>
        <v>1098.96319999997</v>
      </c>
      <c r="G70" s="110" t="n">
        <f aca="false">予算原本_白鳥惣菜!F66</f>
        <v>4249.44759999999</v>
      </c>
      <c r="H70" s="110" t="n">
        <f aca="false">予算原本_白鳥惣菜!G66</f>
        <v>8054.27110000001</v>
      </c>
      <c r="I70" s="110" t="n">
        <f aca="false">予算原本_白鳥惣菜!H66</f>
        <v>-2319.89610000001</v>
      </c>
      <c r="J70" s="110" t="n">
        <f aca="false">予算原本_白鳥惣菜!I66</f>
        <v>-2565.48170000003</v>
      </c>
      <c r="K70" s="110" t="n">
        <f aca="false">予算原本_白鳥惣菜!J66</f>
        <v>3454.53829999999</v>
      </c>
      <c r="L70" s="110" t="n">
        <f aca="false">予算原本_白鳥惣菜!K66</f>
        <v>3740.43829999998</v>
      </c>
      <c r="M70" s="110" t="n">
        <f aca="false">予算原本_白鳥惣菜!L66</f>
        <v>2410.43829999998</v>
      </c>
      <c r="N70" s="110" t="n">
        <f aca="false">予算原本_白鳥惣菜!M66</f>
        <v>-3722.29310000001</v>
      </c>
      <c r="O70" s="111" t="n">
        <f aca="false">SUM(C70:N70)</f>
        <v>12905.9915287306</v>
      </c>
      <c r="P70" s="111" t="n">
        <f aca="false">SUM(I70:N70)</f>
        <v>997.74399999989</v>
      </c>
    </row>
    <row r="72" customFormat="false" ht="15" hidden="false" customHeight="false" outlineLevel="0" collapsed="false">
      <c r="B72" s="3" t="s">
        <v>463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customFormat="false" ht="15" hidden="false" customHeight="false" outlineLevel="0" collapsed="false">
      <c r="B73" s="5" t="s">
        <v>428</v>
      </c>
      <c r="C73" s="34" t="n">
        <f aca="false">白鳥惣菜PL_導入効果!C74</f>
        <v>-0</v>
      </c>
      <c r="D73" s="34" t="n">
        <f aca="false">白鳥惣菜PL_導入効果!D74</f>
        <v>-0</v>
      </c>
      <c r="E73" s="34" t="n">
        <f aca="false">白鳥惣菜PL_導入効果!E74</f>
        <v>-0</v>
      </c>
      <c r="F73" s="34" t="n">
        <f aca="false">白鳥惣菜PL_導入効果!F74</f>
        <v>-0</v>
      </c>
      <c r="G73" s="34" t="n">
        <f aca="false">白鳥惣菜PL_導入効果!G74</f>
        <v>-0</v>
      </c>
      <c r="H73" s="34" t="n">
        <f aca="false">白鳥惣菜PL_導入効果!H74</f>
        <v>-0</v>
      </c>
      <c r="I73" s="34" t="n">
        <f aca="false">白鳥惣菜PL_導入効果!I74</f>
        <v>-0</v>
      </c>
      <c r="J73" s="34" t="n">
        <f aca="false">白鳥惣菜PL_導入効果!J74</f>
        <v>-161</v>
      </c>
      <c r="K73" s="34" t="n">
        <f aca="false">白鳥惣菜PL_導入効果!K74</f>
        <v>-178.25</v>
      </c>
      <c r="L73" s="34" t="n">
        <f aca="false">白鳥惣菜PL_導入効果!L74</f>
        <v>-172.5</v>
      </c>
      <c r="M73" s="34" t="n">
        <f aca="false">白鳥惣菜PL_導入効果!M74</f>
        <v>-178.25</v>
      </c>
      <c r="N73" s="34" t="n">
        <f aca="false">白鳥惣菜PL_導入効果!N74</f>
        <v>-172.5</v>
      </c>
      <c r="O73" s="34" t="n">
        <f aca="false">白鳥惣菜PL_導入効果!O74</f>
        <v>-862.5</v>
      </c>
      <c r="P73" s="34" t="n">
        <f aca="false">白鳥惣菜PL_導入効果!P74</f>
        <v>-862.5</v>
      </c>
    </row>
    <row r="74" customFormat="false" ht="15" hidden="false" customHeight="false" outlineLevel="0" collapsed="false">
      <c r="B74" s="5" t="s">
        <v>430</v>
      </c>
      <c r="C74" s="34" t="n">
        <f aca="false">白鳥惣菜PL_導入効果!C75</f>
        <v>-0</v>
      </c>
      <c r="D74" s="34" t="n">
        <f aca="false">白鳥惣菜PL_導入効果!D75</f>
        <v>-0</v>
      </c>
      <c r="E74" s="34" t="n">
        <f aca="false">白鳥惣菜PL_導入効果!E75</f>
        <v>-0</v>
      </c>
      <c r="F74" s="34" t="n">
        <f aca="false">白鳥惣菜PL_導入効果!F75</f>
        <v>-0</v>
      </c>
      <c r="G74" s="34" t="n">
        <f aca="false">白鳥惣菜PL_導入効果!G75</f>
        <v>-0</v>
      </c>
      <c r="H74" s="34" t="n">
        <f aca="false">白鳥惣菜PL_導入効果!H75</f>
        <v>-0</v>
      </c>
      <c r="I74" s="34" t="n">
        <f aca="false">白鳥惣菜PL_導入効果!I75</f>
        <v>-0</v>
      </c>
      <c r="J74" s="34" t="n">
        <f aca="false">白鳥惣菜PL_導入効果!J75</f>
        <v>-2.688</v>
      </c>
      <c r="K74" s="34" t="n">
        <f aca="false">白鳥惣菜PL_導入効果!K75</f>
        <v>-2.976</v>
      </c>
      <c r="L74" s="34" t="n">
        <f aca="false">白鳥惣菜PL_導入効果!L75</f>
        <v>-2.88</v>
      </c>
      <c r="M74" s="34" t="n">
        <f aca="false">白鳥惣菜PL_導入効果!M75</f>
        <v>-2.976</v>
      </c>
      <c r="N74" s="34" t="n">
        <f aca="false">白鳥惣菜PL_導入効果!N75</f>
        <v>-2.88</v>
      </c>
      <c r="O74" s="34" t="n">
        <f aca="false">白鳥惣菜PL_導入効果!O75</f>
        <v>-14.4</v>
      </c>
      <c r="P74" s="34" t="n">
        <f aca="false">白鳥惣菜PL_導入効果!P75</f>
        <v>-14.4</v>
      </c>
    </row>
    <row r="75" customFormat="false" ht="15" hidden="false" customHeight="false" outlineLevel="0" collapsed="false">
      <c r="B75" s="5" t="s">
        <v>432</v>
      </c>
      <c r="C75" s="34" t="n">
        <f aca="false">白鳥惣菜PL_導入効果!C76</f>
        <v>0</v>
      </c>
      <c r="D75" s="34" t="n">
        <f aca="false">白鳥惣菜PL_導入効果!D76</f>
        <v>0</v>
      </c>
      <c r="E75" s="34" t="n">
        <f aca="false">白鳥惣菜PL_導入効果!E76</f>
        <v>0</v>
      </c>
      <c r="F75" s="34" t="n">
        <f aca="false">白鳥惣菜PL_導入効果!F76</f>
        <v>0</v>
      </c>
      <c r="G75" s="34" t="n">
        <f aca="false">白鳥惣菜PL_導入効果!G76</f>
        <v>0</v>
      </c>
      <c r="H75" s="34" t="n">
        <f aca="false">白鳥惣菜PL_導入効果!H76</f>
        <v>0</v>
      </c>
      <c r="I75" s="34" t="n">
        <f aca="false">白鳥惣菜PL_導入効果!I76</f>
        <v>0</v>
      </c>
      <c r="J75" s="34" t="n">
        <f aca="false">白鳥惣菜PL_導入効果!J76</f>
        <v>5.88</v>
      </c>
      <c r="K75" s="34" t="n">
        <f aca="false">白鳥惣菜PL_導入効果!K76</f>
        <v>6.51</v>
      </c>
      <c r="L75" s="34" t="n">
        <f aca="false">白鳥惣菜PL_導入効果!L76</f>
        <v>6.3</v>
      </c>
      <c r="M75" s="34" t="n">
        <f aca="false">白鳥惣菜PL_導入効果!M76</f>
        <v>6.51</v>
      </c>
      <c r="N75" s="34" t="n">
        <f aca="false">白鳥惣菜PL_導入効果!N76</f>
        <v>6.3</v>
      </c>
      <c r="O75" s="34" t="n">
        <f aca="false">白鳥惣菜PL_導入効果!O76</f>
        <v>31.5</v>
      </c>
      <c r="P75" s="34" t="n">
        <f aca="false">白鳥惣菜PL_導入効果!P76</f>
        <v>31.5</v>
      </c>
    </row>
    <row r="76" customFormat="false" ht="15" hidden="false" customHeight="false" outlineLevel="0" collapsed="false">
      <c r="B76" s="5" t="s">
        <v>434</v>
      </c>
      <c r="C76" s="34" t="n">
        <f aca="false">白鳥惣菜PL_導入効果!C77</f>
        <v>0</v>
      </c>
      <c r="D76" s="34" t="n">
        <f aca="false">白鳥惣菜PL_導入効果!D77</f>
        <v>0</v>
      </c>
      <c r="E76" s="34" t="n">
        <f aca="false">白鳥惣菜PL_導入効果!E77</f>
        <v>0</v>
      </c>
      <c r="F76" s="34" t="n">
        <f aca="false">白鳥惣菜PL_導入効果!F77</f>
        <v>0</v>
      </c>
      <c r="G76" s="34" t="n">
        <f aca="false">白鳥惣菜PL_導入効果!G77</f>
        <v>0</v>
      </c>
      <c r="H76" s="34" t="n">
        <f aca="false">白鳥惣菜PL_導入効果!H77</f>
        <v>0</v>
      </c>
      <c r="I76" s="34" t="n">
        <f aca="false">白鳥惣菜PL_導入効果!I77</f>
        <v>0</v>
      </c>
      <c r="J76" s="34" t="n">
        <f aca="false">白鳥惣菜PL_導入効果!J77</f>
        <v>7.5</v>
      </c>
      <c r="K76" s="34" t="n">
        <f aca="false">白鳥惣菜PL_導入効果!K77</f>
        <v>7.5</v>
      </c>
      <c r="L76" s="34" t="n">
        <f aca="false">白鳥惣菜PL_導入効果!L77</f>
        <v>7.5</v>
      </c>
      <c r="M76" s="34" t="n">
        <f aca="false">白鳥惣菜PL_導入効果!M77</f>
        <v>7.5</v>
      </c>
      <c r="N76" s="34" t="n">
        <f aca="false">白鳥惣菜PL_導入効果!N77</f>
        <v>7.5</v>
      </c>
      <c r="O76" s="34" t="n">
        <f aca="false">白鳥惣菜PL_導入効果!O77</f>
        <v>37.5</v>
      </c>
      <c r="P76" s="34" t="n">
        <f aca="false">白鳥惣菜PL_導入効果!P77</f>
        <v>37.5</v>
      </c>
    </row>
    <row r="77" customFormat="false" ht="15" hidden="false" customHeight="false" outlineLevel="0" collapsed="false">
      <c r="B77" s="12" t="s">
        <v>436</v>
      </c>
      <c r="C77" s="106" t="n">
        <f aca="false">白鳥惣菜PL_導入効果!C78</f>
        <v>0</v>
      </c>
      <c r="D77" s="106" t="n">
        <f aca="false">白鳥惣菜PL_導入効果!D78</f>
        <v>0</v>
      </c>
      <c r="E77" s="106" t="n">
        <f aca="false">白鳥惣菜PL_導入効果!E78</f>
        <v>0</v>
      </c>
      <c r="F77" s="106" t="n">
        <f aca="false">白鳥惣菜PL_導入効果!F78</f>
        <v>0</v>
      </c>
      <c r="G77" s="106" t="n">
        <f aca="false">白鳥惣菜PL_導入効果!G78</f>
        <v>0</v>
      </c>
      <c r="H77" s="106" t="n">
        <f aca="false">白鳥惣菜PL_導入効果!H78</f>
        <v>0</v>
      </c>
      <c r="I77" s="106" t="n">
        <f aca="false">白鳥惣菜PL_導入効果!I78</f>
        <v>0</v>
      </c>
      <c r="J77" s="106" t="n">
        <f aca="false">白鳥惣菜PL_導入効果!J78</f>
        <v>37.5</v>
      </c>
      <c r="K77" s="106" t="n">
        <f aca="false">白鳥惣菜PL_導入効果!K78</f>
        <v>37.5</v>
      </c>
      <c r="L77" s="106" t="n">
        <f aca="false">白鳥惣菜PL_導入効果!L78</f>
        <v>37.5</v>
      </c>
      <c r="M77" s="106" t="n">
        <f aca="false">白鳥惣菜PL_導入効果!M78</f>
        <v>37.5</v>
      </c>
      <c r="N77" s="106" t="n">
        <f aca="false">白鳥惣菜PL_導入効果!N78</f>
        <v>37.5</v>
      </c>
      <c r="O77" s="106" t="n">
        <f aca="false">白鳥惣菜PL_導入効果!O78</f>
        <v>187.5</v>
      </c>
      <c r="P77" s="106" t="n">
        <f aca="false">白鳥惣菜PL_導入効果!P78</f>
        <v>187.5</v>
      </c>
    </row>
    <row r="78" customFormat="false" ht="15" hidden="false" customHeight="false" outlineLevel="0" collapsed="false">
      <c r="B78" s="5" t="s">
        <v>438</v>
      </c>
      <c r="C78" s="34" t="n">
        <f aca="false">白鳥惣菜PL_導入効果!C79</f>
        <v>0</v>
      </c>
      <c r="D78" s="34" t="n">
        <f aca="false">白鳥惣菜PL_導入効果!D79</f>
        <v>0</v>
      </c>
      <c r="E78" s="34" t="n">
        <f aca="false">白鳥惣菜PL_導入効果!E79</f>
        <v>0</v>
      </c>
      <c r="F78" s="34" t="n">
        <f aca="false">白鳥惣菜PL_導入効果!F79</f>
        <v>0</v>
      </c>
      <c r="G78" s="34" t="n">
        <f aca="false">白鳥惣菜PL_導入効果!G79</f>
        <v>0</v>
      </c>
      <c r="H78" s="34" t="n">
        <f aca="false">白鳥惣菜PL_導入効果!H79</f>
        <v>0</v>
      </c>
      <c r="I78" s="34" t="n">
        <f aca="false">白鳥惣菜PL_導入効果!I79</f>
        <v>0</v>
      </c>
      <c r="J78" s="34" t="n">
        <f aca="false">白鳥惣菜PL_導入効果!J79</f>
        <v>4.16666666666667</v>
      </c>
      <c r="K78" s="34" t="n">
        <f aca="false">白鳥惣菜PL_導入効果!K79</f>
        <v>4.16666666666667</v>
      </c>
      <c r="L78" s="34" t="n">
        <f aca="false">白鳥惣菜PL_導入効果!L79</f>
        <v>4.16666666666667</v>
      </c>
      <c r="M78" s="34" t="n">
        <f aca="false">白鳥惣菜PL_導入効果!M79</f>
        <v>4.16666666666667</v>
      </c>
      <c r="N78" s="34" t="n">
        <f aca="false">白鳥惣菜PL_導入効果!N79</f>
        <v>4.16666666666667</v>
      </c>
      <c r="O78" s="34" t="n">
        <f aca="false">白鳥惣菜PL_導入効果!O79</f>
        <v>20.8333333333333</v>
      </c>
      <c r="P78" s="34" t="n">
        <f aca="false">白鳥惣菜PL_導入効果!P79</f>
        <v>20.8333333333333</v>
      </c>
    </row>
    <row r="79" customFormat="false" ht="15" hidden="false" customHeight="false" outlineLevel="0" collapsed="false">
      <c r="B79" s="5" t="s">
        <v>440</v>
      </c>
      <c r="C79" s="34" t="n">
        <f aca="false">白鳥惣菜PL_導入効果!C80</f>
        <v>0</v>
      </c>
      <c r="D79" s="34" t="n">
        <f aca="false">白鳥惣菜PL_導入効果!D80</f>
        <v>0</v>
      </c>
      <c r="E79" s="34" t="n">
        <f aca="false">白鳥惣菜PL_導入効果!E80</f>
        <v>0</v>
      </c>
      <c r="F79" s="34" t="n">
        <f aca="false">白鳥惣菜PL_導入効果!F80</f>
        <v>0</v>
      </c>
      <c r="G79" s="34" t="n">
        <f aca="false">白鳥惣菜PL_導入効果!G80</f>
        <v>0</v>
      </c>
      <c r="H79" s="34" t="n">
        <f aca="false">白鳥惣菜PL_導入効果!H80</f>
        <v>0</v>
      </c>
      <c r="I79" s="34" t="n">
        <f aca="false">白鳥惣菜PL_導入効果!I80</f>
        <v>0</v>
      </c>
      <c r="J79" s="34" t="n">
        <f aca="false">白鳥惣菜PL_導入効果!J80</f>
        <v>0</v>
      </c>
      <c r="K79" s="34" t="n">
        <f aca="false">白鳥惣菜PL_導入効果!K80</f>
        <v>0</v>
      </c>
      <c r="L79" s="34" t="n">
        <f aca="false">白鳥惣菜PL_導入効果!L80</f>
        <v>0</v>
      </c>
      <c r="M79" s="34" t="n">
        <f aca="false">白鳥惣菜PL_導入効果!M80</f>
        <v>0</v>
      </c>
      <c r="N79" s="34" t="n">
        <f aca="false">白鳥惣菜PL_導入効果!N80</f>
        <v>0</v>
      </c>
      <c r="O79" s="34" t="n">
        <f aca="false">白鳥惣菜PL_導入効果!O80</f>
        <v>0</v>
      </c>
      <c r="P79" s="34" t="n">
        <f aca="false">白鳥惣菜PL_導入効果!P80</f>
        <v>0</v>
      </c>
    </row>
    <row r="80" customFormat="false" ht="15" hidden="false" customHeight="false" outlineLevel="0" collapsed="false">
      <c r="B80" s="12" t="s">
        <v>442</v>
      </c>
      <c r="C80" s="106" t="n">
        <f aca="false">白鳥惣菜PL_導入効果!C81</f>
        <v>0</v>
      </c>
      <c r="D80" s="106" t="n">
        <f aca="false">白鳥惣菜PL_導入効果!D81</f>
        <v>0</v>
      </c>
      <c r="E80" s="106" t="n">
        <f aca="false">白鳥惣菜PL_導入効果!E81</f>
        <v>0</v>
      </c>
      <c r="F80" s="106" t="n">
        <f aca="false">白鳥惣菜PL_導入効果!F81</f>
        <v>0</v>
      </c>
      <c r="G80" s="106" t="n">
        <f aca="false">白鳥惣菜PL_導入効果!G81</f>
        <v>0</v>
      </c>
      <c r="H80" s="106" t="n">
        <f aca="false">白鳥惣菜PL_導入効果!H81</f>
        <v>0</v>
      </c>
      <c r="I80" s="106" t="n">
        <f aca="false">白鳥惣菜PL_導入効果!I81</f>
        <v>0</v>
      </c>
      <c r="J80" s="106" t="n">
        <f aca="false">白鳥惣菜PL_導入効果!J81</f>
        <v>-108.641333333333</v>
      </c>
      <c r="K80" s="106" t="n">
        <f aca="false">白鳥惣菜PL_導入効果!K81</f>
        <v>-125.549333333333</v>
      </c>
      <c r="L80" s="106" t="n">
        <f aca="false">白鳥惣菜PL_導入効果!L81</f>
        <v>-119.913333333333</v>
      </c>
      <c r="M80" s="106" t="n">
        <f aca="false">白鳥惣菜PL_導入効果!M81</f>
        <v>-125.549333333333</v>
      </c>
      <c r="N80" s="106" t="n">
        <f aca="false">白鳥惣菜PL_導入効果!N81</f>
        <v>-119.913333333333</v>
      </c>
      <c r="O80" s="106" t="n">
        <f aca="false">白鳥惣菜PL_導入効果!O81</f>
        <v>-599.566666666667</v>
      </c>
      <c r="P80" s="106" t="n">
        <f aca="false">白鳥惣菜PL_導入効果!P81</f>
        <v>-599.566666666667</v>
      </c>
    </row>
    <row r="81" customFormat="false" ht="15" hidden="false" customHeight="false" outlineLevel="0" collapsed="false">
      <c r="B81" s="114" t="s">
        <v>105</v>
      </c>
      <c r="C81" s="126" t="n">
        <f aca="false">白鳥惣菜PL_導入効果!C82</f>
        <v>-0</v>
      </c>
      <c r="D81" s="126" t="n">
        <f aca="false">白鳥惣菜PL_導入効果!D82</f>
        <v>-0</v>
      </c>
      <c r="E81" s="126" t="n">
        <f aca="false">白鳥惣菜PL_導入効果!E82</f>
        <v>-0</v>
      </c>
      <c r="F81" s="126" t="n">
        <f aca="false">白鳥惣菜PL_導入効果!F82</f>
        <v>-0</v>
      </c>
      <c r="G81" s="126" t="n">
        <f aca="false">白鳥惣菜PL_導入効果!G82</f>
        <v>-0</v>
      </c>
      <c r="H81" s="126" t="n">
        <f aca="false">白鳥惣菜PL_導入効果!H82</f>
        <v>-0</v>
      </c>
      <c r="I81" s="126" t="n">
        <f aca="false">白鳥惣菜PL_導入効果!I82</f>
        <v>-0</v>
      </c>
      <c r="J81" s="126" t="n">
        <f aca="false">白鳥惣菜PL_導入効果!J82</f>
        <v>108.641333333333</v>
      </c>
      <c r="K81" s="126" t="n">
        <f aca="false">白鳥惣菜PL_導入効果!K82</f>
        <v>125.549333333333</v>
      </c>
      <c r="L81" s="126" t="n">
        <f aca="false">白鳥惣菜PL_導入効果!L82</f>
        <v>119.913333333333</v>
      </c>
      <c r="M81" s="126" t="n">
        <f aca="false">白鳥惣菜PL_導入効果!M82</f>
        <v>125.549333333333</v>
      </c>
      <c r="N81" s="126" t="n">
        <f aca="false">白鳥惣菜PL_導入効果!N82</f>
        <v>119.913333333333</v>
      </c>
      <c r="O81" s="126" t="n">
        <f aca="false">白鳥惣菜PL_導入効果!O82</f>
        <v>599.566666666667</v>
      </c>
      <c r="P81" s="126" t="n">
        <f aca="false">白鳥惣菜PL_導入効果!P82</f>
        <v>599.566666666667</v>
      </c>
    </row>
    <row r="83" customFormat="false" ht="15" hidden="false" customHeight="false" outlineLevel="0" collapsed="false">
      <c r="B83" s="3" t="s">
        <v>464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customFormat="false" ht="15" hidden="false" customHeight="false" outlineLevel="0" collapsed="false">
      <c r="B84" s="12" t="s">
        <v>323</v>
      </c>
      <c r="C84" s="118" t="n">
        <f aca="false">C8</f>
        <v>859016.86</v>
      </c>
      <c r="D84" s="118" t="n">
        <f aca="false">D8</f>
        <v>980922.579</v>
      </c>
      <c r="E84" s="118" t="n">
        <f aca="false">E8</f>
        <v>810842.501</v>
      </c>
      <c r="F84" s="118" t="n">
        <f aca="false">F8</f>
        <v>772524.471</v>
      </c>
      <c r="G84" s="118" t="n">
        <f aca="false">G8</f>
        <v>750295.52</v>
      </c>
      <c r="H84" s="118" t="n">
        <f aca="false">H8</f>
        <v>847205.75</v>
      </c>
      <c r="I84" s="118" t="n">
        <f aca="false">I8</f>
        <v>770219.863</v>
      </c>
      <c r="J84" s="118" t="n">
        <f aca="false">J8</f>
        <v>729600</v>
      </c>
      <c r="K84" s="118" t="n">
        <f aca="false">K8</f>
        <v>826500</v>
      </c>
      <c r="L84" s="118" t="n">
        <f aca="false">L8</f>
        <v>792000</v>
      </c>
      <c r="M84" s="118" t="n">
        <f aca="false">M8</f>
        <v>802000</v>
      </c>
      <c r="N84" s="118" t="n">
        <f aca="false">N8</f>
        <v>777000</v>
      </c>
      <c r="O84" s="93" t="n">
        <f aca="false">SUM(C84:N84)</f>
        <v>9718127.544</v>
      </c>
      <c r="P84" s="93" t="n">
        <f aca="false">SUM(I84:N84)</f>
        <v>4697319.863</v>
      </c>
    </row>
    <row r="85" customFormat="false" ht="15" hidden="false" customHeight="false" outlineLevel="0" collapsed="false">
      <c r="B85" s="12" t="s">
        <v>324</v>
      </c>
      <c r="C85" s="118" t="n">
        <f aca="false">C9</f>
        <v>243490.299333702</v>
      </c>
      <c r="D85" s="118" t="n">
        <f aca="false">D9</f>
        <v>282030.255474603</v>
      </c>
      <c r="E85" s="118" t="n">
        <f aca="false">E9</f>
        <v>246956.759713984</v>
      </c>
      <c r="F85" s="118" t="n">
        <f aca="false">F9</f>
        <v>219664.471</v>
      </c>
      <c r="G85" s="118" t="n">
        <f aca="false">G9</f>
        <v>213231.52</v>
      </c>
      <c r="H85" s="118" t="n">
        <f aca="false">H9</f>
        <v>240495.75</v>
      </c>
      <c r="I85" s="118" t="n">
        <f aca="false">I9</f>
        <v>218795.863</v>
      </c>
      <c r="J85" s="118" t="n">
        <f aca="false">J9</f>
        <v>207111.4</v>
      </c>
      <c r="K85" s="118" t="n">
        <f aca="false">K9</f>
        <v>234509</v>
      </c>
      <c r="L85" s="118" t="n">
        <f aca="false">L9</f>
        <v>224780</v>
      </c>
      <c r="M85" s="118" t="n">
        <f aca="false">M9</f>
        <v>227600</v>
      </c>
      <c r="N85" s="118" t="n">
        <f aca="false">N9</f>
        <v>219247.2686</v>
      </c>
      <c r="O85" s="93" t="n">
        <f aca="false">SUM(C85:N85)</f>
        <v>2777912.58712229</v>
      </c>
      <c r="P85" s="93" t="n">
        <f aca="false">SUM(I85:N85)</f>
        <v>1332043.5316</v>
      </c>
    </row>
    <row r="86" customFormat="false" ht="15" hidden="false" customHeight="false" outlineLevel="0" collapsed="false">
      <c r="B86" s="5" t="s">
        <v>325</v>
      </c>
      <c r="C86" s="108" t="n">
        <f aca="false">IF(C84=0,0,C85/C84)</f>
        <v>0.283452293746251</v>
      </c>
      <c r="D86" s="108" t="n">
        <f aca="false">IF(D84=0,0,D85/D84)</f>
        <v>0.287515306011324</v>
      </c>
      <c r="E86" s="108" t="n">
        <f aca="false">IF(E84=0,0,E85/E84)</f>
        <v>0.304568099735049</v>
      </c>
      <c r="F86" s="108" t="n">
        <f aca="false">IF(F84=0,0,F85/F84)</f>
        <v>0.284346294837306</v>
      </c>
      <c r="G86" s="108" t="n">
        <f aca="false">IF(G84=0,0,G85/G84)</f>
        <v>0.284196712250128</v>
      </c>
      <c r="H86" s="108" t="n">
        <f aca="false">IF(H84=0,0,H85/H84)</f>
        <v>0.283869355230415</v>
      </c>
      <c r="I86" s="108" t="n">
        <f aca="false">IF(I84=0,0,I85/I84)</f>
        <v>0.284069359296697</v>
      </c>
      <c r="J86" s="108" t="n">
        <f aca="false">IF(J84=0,0,J85/J84)</f>
        <v>0.283869791666667</v>
      </c>
      <c r="K86" s="108" t="n">
        <f aca="false">IF(K84=0,0,K85/K84)</f>
        <v>0.283737447065941</v>
      </c>
      <c r="L86" s="108" t="n">
        <f aca="false">IF(L84=0,0,L85/L84)</f>
        <v>0.283813131313131</v>
      </c>
      <c r="M86" s="108" t="n">
        <f aca="false">IF(M84=0,0,M85/M84)</f>
        <v>0.283790523690773</v>
      </c>
      <c r="N86" s="108" t="n">
        <f aca="false">IF(N84=0,0,N85/N84)</f>
        <v>0.282171516859717</v>
      </c>
      <c r="O86" s="108" t="n">
        <f aca="false">IF(O84=0,0,O85/O84)</f>
        <v>0.285848541763313</v>
      </c>
      <c r="P86" s="108" t="n">
        <f aca="false">IF(P84=0,0,P85/P84)</f>
        <v>0.283575223840361</v>
      </c>
    </row>
    <row r="87" customFormat="false" ht="15" hidden="true" customHeight="false" outlineLevel="1" collapsed="false">
      <c r="B87" s="5" t="s">
        <v>326</v>
      </c>
      <c r="C87" s="93" t="n">
        <f aca="false">C11</f>
        <v>856552.097</v>
      </c>
      <c r="D87" s="93" t="n">
        <f aca="false">D11</f>
        <v>978185.97</v>
      </c>
      <c r="E87" s="93" t="n">
        <f aca="false">E11</f>
        <v>808524.623</v>
      </c>
      <c r="F87" s="93" t="n">
        <f aca="false">F11</f>
        <v>770000</v>
      </c>
      <c r="G87" s="93" t="n">
        <f aca="false">G11</f>
        <v>748000</v>
      </c>
      <c r="H87" s="93" t="n">
        <f aca="false">H11</f>
        <v>845000</v>
      </c>
      <c r="I87" s="93" t="n">
        <f aca="false">I11</f>
        <v>768000</v>
      </c>
      <c r="J87" s="93" t="n">
        <f aca="false">J11</f>
        <v>727700</v>
      </c>
      <c r="K87" s="93" t="n">
        <f aca="false">K11</f>
        <v>824500</v>
      </c>
      <c r="L87" s="93" t="n">
        <f aca="false">L11</f>
        <v>790000</v>
      </c>
      <c r="M87" s="93" t="n">
        <f aca="false">M11</f>
        <v>800000</v>
      </c>
      <c r="N87" s="93" t="n">
        <f aca="false">N11</f>
        <v>775000</v>
      </c>
      <c r="O87" s="93" t="n">
        <f aca="false">SUM(C87:N87)</f>
        <v>9691462.69</v>
      </c>
      <c r="P87" s="93" t="n">
        <f aca="false">SUM(I87:N87)</f>
        <v>4685200</v>
      </c>
    </row>
    <row r="88" customFormat="false" ht="15" hidden="true" customHeight="false" outlineLevel="1" collapsed="false">
      <c r="B88" s="5" t="s">
        <v>327</v>
      </c>
      <c r="C88" s="93" t="n">
        <f aca="false">C12</f>
        <v>231367.23593</v>
      </c>
      <c r="D88" s="93" t="n">
        <f aca="false">D12</f>
        <v>268948.58745</v>
      </c>
      <c r="E88" s="93" t="n">
        <f aca="false">E12</f>
        <v>235658.63036</v>
      </c>
      <c r="F88" s="93" t="n">
        <f aca="false">F12</f>
        <v>209440</v>
      </c>
      <c r="G88" s="93" t="n">
        <f aca="false">G12</f>
        <v>203456</v>
      </c>
      <c r="H88" s="93" t="n">
        <f aca="false">H12</f>
        <v>229840</v>
      </c>
      <c r="I88" s="93" t="n">
        <f aca="false">I12</f>
        <v>208896</v>
      </c>
      <c r="J88" s="93" t="n">
        <f aca="false">J12</f>
        <v>197934.4</v>
      </c>
      <c r="K88" s="93" t="n">
        <f aca="false">K12</f>
        <v>224264</v>
      </c>
      <c r="L88" s="93" t="n">
        <f aca="false">L12</f>
        <v>214880</v>
      </c>
      <c r="M88" s="93" t="n">
        <f aca="false">M12</f>
        <v>217600</v>
      </c>
      <c r="N88" s="93" t="n">
        <f aca="false">N12</f>
        <v>210800</v>
      </c>
      <c r="O88" s="93" t="n">
        <f aca="false">SUM(C88:N88)</f>
        <v>2653084.85374</v>
      </c>
      <c r="P88" s="93" t="n">
        <f aca="false">SUM(I88:N88)</f>
        <v>1274374.4</v>
      </c>
    </row>
    <row r="89" customFormat="false" ht="15" hidden="true" customHeight="false" outlineLevel="1" collapsed="false">
      <c r="B89" s="5" t="s">
        <v>328</v>
      </c>
      <c r="C89" s="108" t="n">
        <f aca="false">IF(C87=0,0,C88/C87)</f>
        <v>0.270114610355101</v>
      </c>
      <c r="D89" s="108" t="n">
        <f aca="false">IF(D87=0,0,D88/D87)</f>
        <v>0.274946273713167</v>
      </c>
      <c r="E89" s="108" t="n">
        <f aca="false">IF(E87=0,0,E88/E87)</f>
        <v>0.29146747502333</v>
      </c>
      <c r="F89" s="108" t="n">
        <f aca="false">IF(F87=0,0,F88/F87)</f>
        <v>0.272</v>
      </c>
      <c r="G89" s="108" t="n">
        <f aca="false">IF(G87=0,0,G88/G87)</f>
        <v>0.272</v>
      </c>
      <c r="H89" s="108" t="n">
        <f aca="false">IF(H87=0,0,H88/H87)</f>
        <v>0.272</v>
      </c>
      <c r="I89" s="108" t="n">
        <f aca="false">IF(I87=0,0,I88/I87)</f>
        <v>0.272</v>
      </c>
      <c r="J89" s="108" t="n">
        <f aca="false">IF(J87=0,0,J88/J87)</f>
        <v>0.272</v>
      </c>
      <c r="K89" s="108" t="n">
        <f aca="false">IF(K87=0,0,K88/K87)</f>
        <v>0.272</v>
      </c>
      <c r="L89" s="108" t="n">
        <f aca="false">IF(L87=0,0,L88/L87)</f>
        <v>0.272</v>
      </c>
      <c r="M89" s="108" t="n">
        <f aca="false">IF(M87=0,0,M88/M87)</f>
        <v>0.272</v>
      </c>
      <c r="N89" s="108" t="n">
        <f aca="false">IF(N87=0,0,N88/N87)</f>
        <v>0.272</v>
      </c>
      <c r="O89" s="108" t="n">
        <f aca="false">IF(O87=0,0,O88/O87)</f>
        <v>0.273754843680877</v>
      </c>
      <c r="P89" s="108" t="n">
        <f aca="false">IF(P87=0,0,P88/P87)</f>
        <v>0.272</v>
      </c>
    </row>
    <row r="90" customFormat="false" ht="15" hidden="true" customHeight="false" outlineLevel="1" collapsed="false">
      <c r="B90" s="5" t="s">
        <v>329</v>
      </c>
      <c r="C90" s="93" t="n">
        <f aca="false">C14</f>
        <v>2464.763</v>
      </c>
      <c r="D90" s="93" t="n">
        <f aca="false">D14</f>
        <v>2736.609</v>
      </c>
      <c r="E90" s="93" t="n">
        <f aca="false">E14</f>
        <v>2317.878</v>
      </c>
      <c r="F90" s="93" t="n">
        <f aca="false">F14</f>
        <v>2524.471</v>
      </c>
      <c r="G90" s="93" t="n">
        <f aca="false">G14</f>
        <v>2295.52</v>
      </c>
      <c r="H90" s="93" t="n">
        <f aca="false">H14</f>
        <v>2205.75</v>
      </c>
      <c r="I90" s="93" t="n">
        <f aca="false">I14</f>
        <v>2219.863</v>
      </c>
      <c r="J90" s="93" t="n">
        <f aca="false">J14</f>
        <v>1900</v>
      </c>
      <c r="K90" s="93" t="n">
        <f aca="false">K14</f>
        <v>2000</v>
      </c>
      <c r="L90" s="93" t="n">
        <f aca="false">L14</f>
        <v>2000</v>
      </c>
      <c r="M90" s="93" t="n">
        <f aca="false">M14</f>
        <v>2000</v>
      </c>
      <c r="N90" s="93" t="n">
        <f aca="false">N14</f>
        <v>2000</v>
      </c>
      <c r="O90" s="93" t="n">
        <f aca="false">SUM(C90:N90)</f>
        <v>26664.854</v>
      </c>
      <c r="P90" s="93" t="n">
        <f aca="false">SUM(I90:N90)</f>
        <v>12119.863</v>
      </c>
    </row>
    <row r="91" customFormat="false" ht="15" hidden="true" customHeight="false" outlineLevel="1" collapsed="false">
      <c r="B91" s="5" t="s">
        <v>330</v>
      </c>
      <c r="C91" s="93" t="n">
        <f aca="false">C15</f>
        <v>2464.763</v>
      </c>
      <c r="D91" s="93" t="n">
        <f aca="false">D15</f>
        <v>2736.609</v>
      </c>
      <c r="E91" s="93" t="n">
        <f aca="false">E15</f>
        <v>2317.878</v>
      </c>
      <c r="F91" s="93" t="n">
        <f aca="false">F15</f>
        <v>2524.471</v>
      </c>
      <c r="G91" s="93" t="n">
        <f aca="false">G15</f>
        <v>2295.52</v>
      </c>
      <c r="H91" s="93" t="n">
        <f aca="false">H15</f>
        <v>2205.75</v>
      </c>
      <c r="I91" s="93" t="n">
        <f aca="false">I15</f>
        <v>2219.863</v>
      </c>
      <c r="J91" s="93" t="n">
        <f aca="false">J15</f>
        <v>1900</v>
      </c>
      <c r="K91" s="93" t="n">
        <f aca="false">K15</f>
        <v>2000</v>
      </c>
      <c r="L91" s="93" t="n">
        <f aca="false">L15</f>
        <v>2000</v>
      </c>
      <c r="M91" s="93" t="n">
        <f aca="false">M15</f>
        <v>2000</v>
      </c>
      <c r="N91" s="93" t="n">
        <f aca="false">N15</f>
        <v>2000</v>
      </c>
      <c r="O91" s="93" t="n">
        <f aca="false">SUM(C91:N91)</f>
        <v>26664.854</v>
      </c>
      <c r="P91" s="93" t="n">
        <f aca="false">SUM(I91:N91)</f>
        <v>12119.863</v>
      </c>
    </row>
    <row r="92" customFormat="false" ht="15" hidden="true" customHeight="false" outlineLevel="1" collapsed="false">
      <c r="B92" s="5" t="s">
        <v>328</v>
      </c>
      <c r="C92" s="108" t="n">
        <f aca="false">IF(C90=0,0,C91/C90)</f>
        <v>1</v>
      </c>
      <c r="D92" s="108" t="n">
        <f aca="false">IF(D90=0,0,D91/D90)</f>
        <v>1</v>
      </c>
      <c r="E92" s="108" t="n">
        <f aca="false">IF(E90=0,0,E91/E90)</f>
        <v>1</v>
      </c>
      <c r="F92" s="108" t="n">
        <f aca="false">IF(F90=0,0,F91/F90)</f>
        <v>1</v>
      </c>
      <c r="G92" s="108" t="n">
        <f aca="false">IF(G90=0,0,G91/G90)</f>
        <v>1</v>
      </c>
      <c r="H92" s="108" t="n">
        <f aca="false">IF(H90=0,0,H91/H90)</f>
        <v>1</v>
      </c>
      <c r="I92" s="108" t="n">
        <f aca="false">IF(I90=0,0,I91/I90)</f>
        <v>1</v>
      </c>
      <c r="J92" s="108" t="n">
        <f aca="false">IF(J90=0,0,J91/J90)</f>
        <v>1</v>
      </c>
      <c r="K92" s="108" t="n">
        <f aca="false">IF(K90=0,0,K91/K90)</f>
        <v>1</v>
      </c>
      <c r="L92" s="108" t="n">
        <f aca="false">IF(L90=0,0,L91/L90)</f>
        <v>1</v>
      </c>
      <c r="M92" s="108" t="n">
        <f aca="false">IF(M90=0,0,M91/M90)</f>
        <v>1</v>
      </c>
      <c r="N92" s="108" t="n">
        <f aca="false">IF(N90=0,0,N91/N90)</f>
        <v>1</v>
      </c>
      <c r="O92" s="108" t="n">
        <f aca="false">IF(O90=0,0,O91/O90)</f>
        <v>1</v>
      </c>
      <c r="P92" s="108" t="n">
        <f aca="false">IF(P90=0,0,P91/P90)</f>
        <v>1</v>
      </c>
    </row>
    <row r="93" customFormat="false" ht="15" hidden="true" customHeight="false" outlineLevel="1" collapsed="false">
      <c r="B93" s="5" t="s">
        <v>331</v>
      </c>
      <c r="C93" s="93" t="n">
        <f aca="false">C17</f>
        <v>0</v>
      </c>
      <c r="D93" s="93" t="n">
        <f aca="false">D17</f>
        <v>0</v>
      </c>
      <c r="E93" s="93" t="n">
        <f aca="false">E17</f>
        <v>0</v>
      </c>
      <c r="F93" s="93" t="n">
        <f aca="false">F17</f>
        <v>0</v>
      </c>
      <c r="G93" s="93" t="n">
        <f aca="false">G17</f>
        <v>0</v>
      </c>
      <c r="H93" s="93" t="n">
        <f aca="false">H17</f>
        <v>0</v>
      </c>
      <c r="I93" s="93" t="n">
        <f aca="false">I17</f>
        <v>0</v>
      </c>
      <c r="J93" s="93" t="n">
        <f aca="false">J17</f>
        <v>0</v>
      </c>
      <c r="K93" s="93" t="n">
        <f aca="false">K17</f>
        <v>0</v>
      </c>
      <c r="L93" s="93" t="n">
        <f aca="false">L17</f>
        <v>0</v>
      </c>
      <c r="M93" s="93" t="n">
        <f aca="false">M17</f>
        <v>0</v>
      </c>
      <c r="N93" s="93" t="n">
        <f aca="false">N17</f>
        <v>0</v>
      </c>
      <c r="O93" s="93" t="n">
        <f aca="false">SUM(C93:N93)</f>
        <v>0</v>
      </c>
      <c r="P93" s="93" t="n">
        <f aca="false">SUM(I93:N93)</f>
        <v>0</v>
      </c>
    </row>
    <row r="94" customFormat="false" ht="15" hidden="true" customHeight="false" outlineLevel="1" collapsed="false">
      <c r="B94" s="5" t="s">
        <v>332</v>
      </c>
      <c r="C94" s="93" t="n">
        <f aca="false">C18</f>
        <v>0</v>
      </c>
      <c r="D94" s="93" t="n">
        <f aca="false">D18</f>
        <v>0</v>
      </c>
      <c r="E94" s="93" t="n">
        <f aca="false">E18</f>
        <v>0</v>
      </c>
      <c r="F94" s="93" t="n">
        <f aca="false">F18</f>
        <v>0</v>
      </c>
      <c r="G94" s="93" t="n">
        <f aca="false">G18</f>
        <v>0</v>
      </c>
      <c r="H94" s="93" t="n">
        <f aca="false">H18</f>
        <v>0</v>
      </c>
      <c r="I94" s="93" t="n">
        <f aca="false">I18</f>
        <v>0</v>
      </c>
      <c r="J94" s="93" t="n">
        <f aca="false">J18</f>
        <v>0</v>
      </c>
      <c r="K94" s="93" t="n">
        <f aca="false">K18</f>
        <v>0</v>
      </c>
      <c r="L94" s="93" t="n">
        <f aca="false">L18</f>
        <v>0</v>
      </c>
      <c r="M94" s="93" t="n">
        <f aca="false">M18</f>
        <v>0</v>
      </c>
      <c r="N94" s="93" t="n">
        <f aca="false">N18</f>
        <v>0</v>
      </c>
      <c r="O94" s="93" t="n">
        <f aca="false">SUM(C94:N94)</f>
        <v>0</v>
      </c>
      <c r="P94" s="93" t="n">
        <f aca="false">SUM(I94:N94)</f>
        <v>0</v>
      </c>
    </row>
    <row r="95" customFormat="false" ht="15" hidden="true" customHeight="false" outlineLevel="1" collapsed="false">
      <c r="B95" s="5" t="s">
        <v>328</v>
      </c>
      <c r="C95" s="108" t="n">
        <f aca="false">IF(C93=0,0,C94/C93)</f>
        <v>0</v>
      </c>
      <c r="D95" s="108" t="n">
        <f aca="false">IF(D93=0,0,D94/D93)</f>
        <v>0</v>
      </c>
      <c r="E95" s="108" t="n">
        <f aca="false">IF(E93=0,0,E94/E93)</f>
        <v>0</v>
      </c>
      <c r="F95" s="108" t="n">
        <f aca="false">IF(F93=0,0,F94/F93)</f>
        <v>0</v>
      </c>
      <c r="G95" s="108" t="n">
        <f aca="false">IF(G93=0,0,G94/G93)</f>
        <v>0</v>
      </c>
      <c r="H95" s="108" t="n">
        <f aca="false">IF(H93=0,0,H94/H93)</f>
        <v>0</v>
      </c>
      <c r="I95" s="108" t="n">
        <f aca="false">IF(I93=0,0,I94/I93)</f>
        <v>0</v>
      </c>
      <c r="J95" s="108" t="n">
        <f aca="false">IF(J93=0,0,J94/J93)</f>
        <v>0</v>
      </c>
      <c r="K95" s="108" t="n">
        <f aca="false">IF(K93=0,0,K94/K93)</f>
        <v>0</v>
      </c>
      <c r="L95" s="108" t="n">
        <f aca="false">IF(L93=0,0,L94/L93)</f>
        <v>0</v>
      </c>
      <c r="M95" s="108" t="n">
        <f aca="false">IF(M93=0,0,M94/M93)</f>
        <v>0</v>
      </c>
      <c r="N95" s="108" t="n">
        <f aca="false">IF(N93=0,0,N94/N93)</f>
        <v>0</v>
      </c>
      <c r="O95" s="108" t="n">
        <f aca="false">IF(O93=0,0,O94/O93)</f>
        <v>0</v>
      </c>
      <c r="P95" s="108" t="n">
        <f aca="false">IF(P93=0,0,P94/P93)</f>
        <v>0</v>
      </c>
    </row>
    <row r="96" customFormat="false" ht="15" hidden="true" customHeight="false" outlineLevel="1" collapsed="false">
      <c r="B96" s="5" t="s">
        <v>333</v>
      </c>
      <c r="C96" s="93" t="n">
        <f aca="false">C20</f>
        <v>0</v>
      </c>
      <c r="D96" s="93" t="n">
        <f aca="false">D20</f>
        <v>0</v>
      </c>
      <c r="E96" s="93" t="n">
        <f aca="false">E20</f>
        <v>0</v>
      </c>
      <c r="F96" s="93" t="n">
        <f aca="false">F20</f>
        <v>0</v>
      </c>
      <c r="G96" s="93" t="n">
        <f aca="false">G20</f>
        <v>0</v>
      </c>
      <c r="H96" s="93" t="n">
        <f aca="false">H20</f>
        <v>0</v>
      </c>
      <c r="I96" s="93" t="n">
        <f aca="false">I20</f>
        <v>0</v>
      </c>
      <c r="J96" s="93" t="n">
        <f aca="false">J20</f>
        <v>0</v>
      </c>
      <c r="K96" s="93" t="n">
        <f aca="false">K20</f>
        <v>0</v>
      </c>
      <c r="L96" s="93" t="n">
        <f aca="false">L20</f>
        <v>0</v>
      </c>
      <c r="M96" s="93" t="n">
        <f aca="false">M20</f>
        <v>0</v>
      </c>
      <c r="N96" s="93" t="n">
        <f aca="false">N20</f>
        <v>0</v>
      </c>
      <c r="O96" s="93" t="n">
        <f aca="false">SUM(C96:N96)</f>
        <v>0</v>
      </c>
      <c r="P96" s="93" t="n">
        <f aca="false">SUM(I96:N96)</f>
        <v>0</v>
      </c>
    </row>
    <row r="97" customFormat="false" ht="15" hidden="true" customHeight="false" outlineLevel="1" collapsed="false">
      <c r="B97" s="5" t="s">
        <v>334</v>
      </c>
      <c r="C97" s="93" t="n">
        <f aca="false">C21</f>
        <v>9658.30040370242</v>
      </c>
      <c r="D97" s="93" t="n">
        <f aca="false">D21</f>
        <v>10345.0590246025</v>
      </c>
      <c r="E97" s="93" t="n">
        <f aca="false">E21</f>
        <v>8980.25135398415</v>
      </c>
      <c r="F97" s="93" t="n">
        <f aca="false">F21</f>
        <v>7700</v>
      </c>
      <c r="G97" s="93" t="n">
        <f aca="false">G21</f>
        <v>7480</v>
      </c>
      <c r="H97" s="93" t="n">
        <f aca="false">H21</f>
        <v>8450</v>
      </c>
      <c r="I97" s="93" t="n">
        <f aca="false">I21</f>
        <v>7680</v>
      </c>
      <c r="J97" s="93" t="n">
        <f aca="false">J21</f>
        <v>7277</v>
      </c>
      <c r="K97" s="93" t="n">
        <f aca="false">K21</f>
        <v>8245</v>
      </c>
      <c r="L97" s="93" t="n">
        <f aca="false">L21</f>
        <v>7900</v>
      </c>
      <c r="M97" s="93" t="n">
        <f aca="false">M21</f>
        <v>8000</v>
      </c>
      <c r="N97" s="93" t="n">
        <f aca="false">N21</f>
        <v>6447.2686</v>
      </c>
      <c r="O97" s="93" t="n">
        <f aca="false">SUM(C97:N97)</f>
        <v>98162.8793822891</v>
      </c>
      <c r="P97" s="93" t="n">
        <f aca="false">SUM(I97:N97)</f>
        <v>45549.2686</v>
      </c>
    </row>
    <row r="98" customFormat="false" ht="15" hidden="true" customHeight="false" outlineLevel="1" collapsed="false">
      <c r="B98" s="5" t="s">
        <v>328</v>
      </c>
      <c r="C98" s="108" t="n">
        <f aca="false">IF(C96=0,0,C97/C96)</f>
        <v>0</v>
      </c>
      <c r="D98" s="108" t="n">
        <f aca="false">IF(D96=0,0,D97/D96)</f>
        <v>0</v>
      </c>
      <c r="E98" s="108" t="n">
        <f aca="false">IF(E96=0,0,E97/E96)</f>
        <v>0</v>
      </c>
      <c r="F98" s="108" t="n">
        <f aca="false">IF(F96=0,0,F97/F96)</f>
        <v>0</v>
      </c>
      <c r="G98" s="108" t="n">
        <f aca="false">IF(G96=0,0,G97/G96)</f>
        <v>0</v>
      </c>
      <c r="H98" s="108" t="n">
        <f aca="false">IF(H96=0,0,H97/H96)</f>
        <v>0</v>
      </c>
      <c r="I98" s="108" t="n">
        <f aca="false">IF(I96=0,0,I97/I96)</f>
        <v>0</v>
      </c>
      <c r="J98" s="108" t="n">
        <f aca="false">IF(J96=0,0,J97/J96)</f>
        <v>0</v>
      </c>
      <c r="K98" s="108" t="n">
        <f aca="false">IF(K96=0,0,K97/K96)</f>
        <v>0</v>
      </c>
      <c r="L98" s="108" t="n">
        <f aca="false">IF(L96=0,0,L97/L96)</f>
        <v>0</v>
      </c>
      <c r="M98" s="108" t="n">
        <f aca="false">IF(M96=0,0,M97/M96)</f>
        <v>0</v>
      </c>
      <c r="N98" s="108" t="n">
        <f aca="false">IF(N96=0,0,N97/N96)</f>
        <v>0</v>
      </c>
      <c r="O98" s="108" t="n">
        <f aca="false">IF(O96=0,0,O97/O96)</f>
        <v>0</v>
      </c>
      <c r="P98" s="108" t="n">
        <f aca="false">IF(P96=0,0,P97/P96)</f>
        <v>0</v>
      </c>
    </row>
    <row r="99" customFormat="false" ht="15" hidden="false" customHeight="false" outlineLevel="0" collapsed="false">
      <c r="B99" s="12" t="s">
        <v>335</v>
      </c>
      <c r="C99" s="118" t="n">
        <f aca="false">SUM(C100:C108)</f>
        <v>159123.951333333</v>
      </c>
      <c r="D99" s="118" t="n">
        <f aca="false">SUM(D100:D108)</f>
        <v>163148.189772727</v>
      </c>
      <c r="E99" s="118" t="n">
        <f aca="false">SUM(E100:E108)</f>
        <v>164121.689</v>
      </c>
      <c r="F99" s="118" t="n">
        <f aca="false">SUM(F100:F108)</f>
        <v>140499</v>
      </c>
      <c r="G99" s="118" t="n">
        <f aca="false">SUM(G100:G108)</f>
        <v>133546</v>
      </c>
      <c r="H99" s="118" t="n">
        <f aca="false">SUM(H100:H108)</f>
        <v>144822</v>
      </c>
      <c r="I99" s="118" t="n">
        <f aca="false">SUM(I100:I108)</f>
        <v>144712</v>
      </c>
      <c r="J99" s="118" t="n">
        <f aca="false">SUM(J100:J108)</f>
        <v>134840</v>
      </c>
      <c r="K99" s="118" t="n">
        <f aca="false">SUM(K100:K108)</f>
        <v>143509.75</v>
      </c>
      <c r="L99" s="118" t="n">
        <f aca="false">SUM(L100:L108)</f>
        <v>139173.5</v>
      </c>
      <c r="M99" s="118" t="n">
        <f aca="false">SUM(M100:M108)</f>
        <v>144171.75</v>
      </c>
      <c r="N99" s="118" t="n">
        <f aca="false">SUM(N100:N108)</f>
        <v>142435.5</v>
      </c>
      <c r="O99" s="93" t="n">
        <f aca="false">SUM(C99:N99)</f>
        <v>1754103.33010606</v>
      </c>
      <c r="P99" s="93" t="n">
        <f aca="false">SUM(I99:N99)</f>
        <v>848842.5</v>
      </c>
    </row>
    <row r="100" customFormat="false" ht="15" hidden="false" customHeight="false" outlineLevel="1" collapsed="false">
      <c r="B100" s="5" t="s">
        <v>336</v>
      </c>
      <c r="C100" s="93" t="n">
        <f aca="false">C24</f>
        <v>103680.972</v>
      </c>
      <c r="D100" s="93" t="n">
        <f aca="false">D24</f>
        <v>118115.4015</v>
      </c>
      <c r="E100" s="93" t="n">
        <f aca="false">E24</f>
        <v>112717.346</v>
      </c>
      <c r="F100" s="93" t="n">
        <f aca="false">F24</f>
        <v>96250</v>
      </c>
      <c r="G100" s="93" t="n">
        <f aca="false">G24</f>
        <v>86900</v>
      </c>
      <c r="H100" s="93" t="n">
        <f aca="false">H24</f>
        <v>94800</v>
      </c>
      <c r="I100" s="93" t="n">
        <f aca="false">I24</f>
        <v>99450</v>
      </c>
      <c r="J100" s="93" t="n">
        <f aca="false">J24</f>
        <v>90475</v>
      </c>
      <c r="K100" s="93" t="n">
        <f aca="false">K24</f>
        <v>96250</v>
      </c>
      <c r="L100" s="93" t="n">
        <f aca="false">L24</f>
        <v>95000</v>
      </c>
      <c r="M100" s="93" t="n">
        <f aca="false">M24</f>
        <v>95000</v>
      </c>
      <c r="N100" s="93" t="n">
        <f aca="false">N24</f>
        <v>97500</v>
      </c>
      <c r="O100" s="93" t="n">
        <f aca="false">SUM(C100:N100)</f>
        <v>1186138.7195</v>
      </c>
      <c r="P100" s="93" t="n">
        <f aca="false">SUM(I100:N100)</f>
        <v>573675</v>
      </c>
    </row>
    <row r="101" customFormat="false" ht="15" hidden="false" customHeight="false" outlineLevel="1" collapsed="false">
      <c r="B101" s="5" t="s">
        <v>337</v>
      </c>
      <c r="C101" s="93" t="n">
        <f aca="false">C25</f>
        <v>0</v>
      </c>
      <c r="D101" s="93" t="n">
        <f aca="false">D25</f>
        <v>0</v>
      </c>
      <c r="E101" s="93" t="n">
        <f aca="false">E25</f>
        <v>0</v>
      </c>
      <c r="F101" s="93" t="n">
        <f aca="false">F25</f>
        <v>0</v>
      </c>
      <c r="G101" s="93" t="n">
        <f aca="false">G25</f>
        <v>0</v>
      </c>
      <c r="H101" s="93" t="n">
        <f aca="false">H25</f>
        <v>0</v>
      </c>
      <c r="I101" s="93" t="n">
        <f aca="false">I25</f>
        <v>0</v>
      </c>
      <c r="J101" s="93" t="n">
        <f aca="false">J25</f>
        <v>0</v>
      </c>
      <c r="K101" s="93" t="n">
        <f aca="false">K25</f>
        <v>0</v>
      </c>
      <c r="L101" s="93" t="n">
        <f aca="false">L25</f>
        <v>0</v>
      </c>
      <c r="M101" s="93" t="n">
        <f aca="false">M25</f>
        <v>0</v>
      </c>
      <c r="N101" s="93" t="n">
        <f aca="false">N25</f>
        <v>0</v>
      </c>
      <c r="O101" s="93" t="n">
        <f aca="false">SUM(C101:N101)</f>
        <v>0</v>
      </c>
      <c r="P101" s="93" t="n">
        <f aca="false">SUM(I101:N101)</f>
        <v>0</v>
      </c>
    </row>
    <row r="102" customFormat="false" ht="15" hidden="false" customHeight="false" outlineLevel="1" collapsed="false">
      <c r="B102" s="119" t="s">
        <v>338</v>
      </c>
      <c r="C102" s="120" t="n">
        <f aca="false">C26+C73</f>
        <v>19396.332</v>
      </c>
      <c r="D102" s="120" t="n">
        <f aca="false">D26+D73</f>
        <v>19221.482</v>
      </c>
      <c r="E102" s="120" t="n">
        <f aca="false">E26+E73</f>
        <v>17675.614</v>
      </c>
      <c r="F102" s="120" t="n">
        <f aca="false">F26+F73</f>
        <v>18120</v>
      </c>
      <c r="G102" s="120" t="n">
        <f aca="false">G26+G73</f>
        <v>18724</v>
      </c>
      <c r="H102" s="120" t="n">
        <f aca="false">H26+H73</f>
        <v>20336</v>
      </c>
      <c r="I102" s="120" t="n">
        <f aca="false">I26+I73</f>
        <v>18600</v>
      </c>
      <c r="J102" s="120" t="n">
        <f aca="false">J26+J73</f>
        <v>18289</v>
      </c>
      <c r="K102" s="120" t="n">
        <f aca="false">K26+K73</f>
        <v>19661.75</v>
      </c>
      <c r="L102" s="120" t="n">
        <f aca="false">L26+L73</f>
        <v>18427.5</v>
      </c>
      <c r="M102" s="120" t="n">
        <f aca="false">M26+M73</f>
        <v>19413.75</v>
      </c>
      <c r="N102" s="120" t="n">
        <f aca="false">N26+N73</f>
        <v>18551.5</v>
      </c>
      <c r="O102" s="120" t="n">
        <f aca="false">SUM(C102:N102)</f>
        <v>226416.928</v>
      </c>
      <c r="P102" s="120" t="n">
        <f aca="false">SUM(I102:N102)</f>
        <v>112943.5</v>
      </c>
      <c r="Q102" s="67" t="s">
        <v>448</v>
      </c>
    </row>
    <row r="103" customFormat="false" ht="15" hidden="false" customHeight="false" outlineLevel="1" collapsed="false">
      <c r="B103" s="5" t="s">
        <v>339</v>
      </c>
      <c r="C103" s="93" t="n">
        <f aca="false">C27</f>
        <v>9197.121</v>
      </c>
      <c r="D103" s="93" t="n">
        <f aca="false">D27</f>
        <v>-1271.735</v>
      </c>
      <c r="E103" s="93" t="n">
        <f aca="false">E27</f>
        <v>5864.168</v>
      </c>
      <c r="F103" s="93" t="n">
        <f aca="false">F27</f>
        <v>100</v>
      </c>
      <c r="G103" s="93" t="n">
        <f aca="false">G27</f>
        <v>100</v>
      </c>
      <c r="H103" s="93" t="n">
        <f aca="false">H27</f>
        <v>3500</v>
      </c>
      <c r="I103" s="93" t="n">
        <f aca="false">I27</f>
        <v>100</v>
      </c>
      <c r="J103" s="93" t="n">
        <f aca="false">J27</f>
        <v>1000</v>
      </c>
      <c r="K103" s="93" t="n">
        <f aca="false">K27</f>
        <v>1500</v>
      </c>
      <c r="L103" s="93" t="n">
        <f aca="false">L27</f>
        <v>100</v>
      </c>
      <c r="M103" s="93" t="n">
        <f aca="false">M27</f>
        <v>1000</v>
      </c>
      <c r="N103" s="93" t="n">
        <f aca="false">N27</f>
        <v>100</v>
      </c>
      <c r="O103" s="93" t="n">
        <f aca="false">SUM(C103:N103)</f>
        <v>21289.554</v>
      </c>
      <c r="P103" s="93" t="n">
        <f aca="false">SUM(I103:N103)</f>
        <v>3800</v>
      </c>
    </row>
    <row r="104" customFormat="false" ht="15" hidden="false" customHeight="false" outlineLevel="1" collapsed="false">
      <c r="B104" s="5" t="s">
        <v>340</v>
      </c>
      <c r="C104" s="93" t="n">
        <f aca="false">C28</f>
        <v>5160</v>
      </c>
      <c r="D104" s="93" t="n">
        <f aca="false">D28</f>
        <v>5160</v>
      </c>
      <c r="E104" s="93" t="n">
        <f aca="false">E28</f>
        <v>5160</v>
      </c>
      <c r="F104" s="93" t="n">
        <f aca="false">F28</f>
        <v>5160</v>
      </c>
      <c r="G104" s="93" t="n">
        <f aca="false">G28</f>
        <v>5160</v>
      </c>
      <c r="H104" s="93" t="n">
        <f aca="false">H28</f>
        <v>5160</v>
      </c>
      <c r="I104" s="93" t="n">
        <f aca="false">I28</f>
        <v>5160</v>
      </c>
      <c r="J104" s="93" t="n">
        <f aca="false">J28</f>
        <v>5160</v>
      </c>
      <c r="K104" s="93" t="n">
        <f aca="false">K28</f>
        <v>5160</v>
      </c>
      <c r="L104" s="93" t="n">
        <f aca="false">L28</f>
        <v>5160</v>
      </c>
      <c r="M104" s="93" t="n">
        <f aca="false">M28</f>
        <v>5160</v>
      </c>
      <c r="N104" s="93" t="n">
        <f aca="false">N28</f>
        <v>5160</v>
      </c>
      <c r="O104" s="93" t="n">
        <f aca="false">SUM(C104:N104)</f>
        <v>61920</v>
      </c>
      <c r="P104" s="93" t="n">
        <f aca="false">SUM(I104:N104)</f>
        <v>30960</v>
      </c>
    </row>
    <row r="105" customFormat="false" ht="15" hidden="false" customHeight="false" outlineLevel="1" collapsed="false">
      <c r="B105" s="5" t="s">
        <v>341</v>
      </c>
      <c r="C105" s="93" t="n">
        <f aca="false">C29</f>
        <v>19189.69</v>
      </c>
      <c r="D105" s="93" t="n">
        <f aca="false">D29</f>
        <v>19595.3682727273</v>
      </c>
      <c r="E105" s="93" t="n">
        <f aca="false">E29</f>
        <v>19894.275</v>
      </c>
      <c r="F105" s="93" t="n">
        <f aca="false">F29</f>
        <v>17224</v>
      </c>
      <c r="G105" s="93" t="n">
        <f aca="false">G29</f>
        <v>15892</v>
      </c>
      <c r="H105" s="93" t="n">
        <f aca="false">H29</f>
        <v>17256</v>
      </c>
      <c r="I105" s="93" t="n">
        <f aca="false">I29</f>
        <v>17757</v>
      </c>
      <c r="J105" s="93" t="n">
        <f aca="false">J29</f>
        <v>16396</v>
      </c>
      <c r="K105" s="93" t="n">
        <f aca="false">K29</f>
        <v>17418</v>
      </c>
      <c r="L105" s="93" t="n">
        <f aca="false">L29</f>
        <v>17091</v>
      </c>
      <c r="M105" s="93" t="n">
        <f aca="false">M29</f>
        <v>17203</v>
      </c>
      <c r="N105" s="93" t="n">
        <f aca="false">N29</f>
        <v>17479</v>
      </c>
      <c r="O105" s="93" t="n">
        <f aca="false">SUM(C105:N105)</f>
        <v>212395.333272727</v>
      </c>
      <c r="P105" s="93" t="n">
        <f aca="false">SUM(I105:N105)</f>
        <v>103344</v>
      </c>
    </row>
    <row r="106" customFormat="false" ht="15" hidden="false" customHeight="false" outlineLevel="1" collapsed="false">
      <c r="B106" s="5" t="s">
        <v>342</v>
      </c>
      <c r="C106" s="93" t="n">
        <f aca="false">C30</f>
        <v>2499.83633333333</v>
      </c>
      <c r="D106" s="93" t="n">
        <f aca="false">D30</f>
        <v>2327.673</v>
      </c>
      <c r="E106" s="93" t="n">
        <f aca="false">E30</f>
        <v>2810.286</v>
      </c>
      <c r="F106" s="93" t="n">
        <f aca="false">F30</f>
        <v>3635</v>
      </c>
      <c r="G106" s="93" t="n">
        <f aca="false">G30</f>
        <v>6760</v>
      </c>
      <c r="H106" s="93" t="n">
        <f aca="false">H30</f>
        <v>3760</v>
      </c>
      <c r="I106" s="93" t="n">
        <f aca="false">I30</f>
        <v>3635</v>
      </c>
      <c r="J106" s="93" t="n">
        <f aca="false">J30</f>
        <v>3510</v>
      </c>
      <c r="K106" s="93" t="n">
        <f aca="false">K30</f>
        <v>3510</v>
      </c>
      <c r="L106" s="93" t="n">
        <f aca="false">L30</f>
        <v>3385</v>
      </c>
      <c r="M106" s="93" t="n">
        <f aca="false">M30</f>
        <v>6385</v>
      </c>
      <c r="N106" s="93" t="n">
        <f aca="false">N30</f>
        <v>3635</v>
      </c>
      <c r="O106" s="93" t="n">
        <f aca="false">SUM(C106:N106)</f>
        <v>45852.7953333333</v>
      </c>
      <c r="P106" s="93" t="n">
        <f aca="false">SUM(I106:N106)</f>
        <v>24060</v>
      </c>
    </row>
    <row r="107" customFormat="false" ht="15" hidden="false" customHeight="false" outlineLevel="1" collapsed="false">
      <c r="B107" s="5" t="s">
        <v>343</v>
      </c>
      <c r="C107" s="93" t="n">
        <f aca="false">C31</f>
        <v>0</v>
      </c>
      <c r="D107" s="93" t="n">
        <f aca="false">D31</f>
        <v>0</v>
      </c>
      <c r="E107" s="93" t="n">
        <f aca="false">E31</f>
        <v>0</v>
      </c>
      <c r="F107" s="93" t="n">
        <f aca="false">F31</f>
        <v>0</v>
      </c>
      <c r="G107" s="93" t="n">
        <f aca="false">G31</f>
        <v>0</v>
      </c>
      <c r="H107" s="93" t="n">
        <f aca="false">H31</f>
        <v>0</v>
      </c>
      <c r="I107" s="93" t="n">
        <f aca="false">I31</f>
        <v>0</v>
      </c>
      <c r="J107" s="93" t="n">
        <f aca="false">J31</f>
        <v>0</v>
      </c>
      <c r="K107" s="93" t="n">
        <f aca="false">K31</f>
        <v>0</v>
      </c>
      <c r="L107" s="93" t="n">
        <f aca="false">L31</f>
        <v>0</v>
      </c>
      <c r="M107" s="93" t="n">
        <f aca="false">M31</f>
        <v>0</v>
      </c>
      <c r="N107" s="93" t="n">
        <f aca="false">N31</f>
        <v>0</v>
      </c>
      <c r="O107" s="93" t="n">
        <f aca="false">SUM(C107:N107)</f>
        <v>0</v>
      </c>
      <c r="P107" s="93" t="n">
        <f aca="false">SUM(I107:N107)</f>
        <v>0</v>
      </c>
    </row>
    <row r="108" customFormat="false" ht="15" hidden="false" customHeight="false" outlineLevel="1" collapsed="false">
      <c r="B108" s="5" t="s">
        <v>344</v>
      </c>
      <c r="C108" s="93" t="n">
        <f aca="false">C32</f>
        <v>0</v>
      </c>
      <c r="D108" s="93" t="n">
        <f aca="false">D32</f>
        <v>0</v>
      </c>
      <c r="E108" s="93" t="n">
        <f aca="false">E32</f>
        <v>0</v>
      </c>
      <c r="F108" s="93" t="n">
        <f aca="false">F32</f>
        <v>10</v>
      </c>
      <c r="G108" s="93" t="n">
        <f aca="false">G32</f>
        <v>10</v>
      </c>
      <c r="H108" s="93" t="n">
        <f aca="false">H32</f>
        <v>10</v>
      </c>
      <c r="I108" s="93" t="n">
        <f aca="false">I32</f>
        <v>10</v>
      </c>
      <c r="J108" s="93" t="n">
        <f aca="false">J32</f>
        <v>10</v>
      </c>
      <c r="K108" s="93" t="n">
        <f aca="false">K32</f>
        <v>10</v>
      </c>
      <c r="L108" s="93" t="n">
        <f aca="false">L32</f>
        <v>10</v>
      </c>
      <c r="M108" s="93" t="n">
        <f aca="false">M32</f>
        <v>10</v>
      </c>
      <c r="N108" s="93" t="n">
        <f aca="false">N32</f>
        <v>10</v>
      </c>
      <c r="O108" s="93" t="n">
        <f aca="false">SUM(C108:N108)</f>
        <v>90</v>
      </c>
      <c r="P108" s="93" t="n">
        <f aca="false">SUM(I108:N108)</f>
        <v>60</v>
      </c>
    </row>
    <row r="109" customFormat="false" ht="15" hidden="false" customHeight="false" outlineLevel="0" collapsed="false">
      <c r="B109" s="12" t="s">
        <v>345</v>
      </c>
      <c r="C109" s="118" t="n">
        <f aca="false">SUM(C110:C111)</f>
        <v>0</v>
      </c>
      <c r="D109" s="118" t="n">
        <f aca="false">SUM(D110:D111)</f>
        <v>0</v>
      </c>
      <c r="E109" s="118" t="n">
        <f aca="false">SUM(E110:E111)</f>
        <v>0</v>
      </c>
      <c r="F109" s="118" t="n">
        <f aca="false">SUM(F110:F111)</f>
        <v>0</v>
      </c>
      <c r="G109" s="118" t="n">
        <f aca="false">SUM(G110:G111)</f>
        <v>0</v>
      </c>
      <c r="H109" s="118" t="n">
        <f aca="false">SUM(H110:H111)</f>
        <v>0</v>
      </c>
      <c r="I109" s="118" t="n">
        <f aca="false">SUM(I110:I111)</f>
        <v>0</v>
      </c>
      <c r="J109" s="118" t="n">
        <f aca="false">SUM(J110:J111)</f>
        <v>0</v>
      </c>
      <c r="K109" s="118" t="n">
        <f aca="false">SUM(K110:K111)</f>
        <v>0</v>
      </c>
      <c r="L109" s="118" t="n">
        <f aca="false">SUM(L110:L111)</f>
        <v>0</v>
      </c>
      <c r="M109" s="118" t="n">
        <f aca="false">SUM(M110:M111)</f>
        <v>0</v>
      </c>
      <c r="N109" s="118" t="n">
        <f aca="false">SUM(N110:N111)</f>
        <v>0</v>
      </c>
      <c r="O109" s="93" t="n">
        <f aca="false">SUM(C109:N109)</f>
        <v>0</v>
      </c>
      <c r="P109" s="93" t="n">
        <f aca="false">SUM(I109:N109)</f>
        <v>0</v>
      </c>
    </row>
    <row r="110" customFormat="false" ht="15" hidden="false" customHeight="false" outlineLevel="1" collapsed="false">
      <c r="B110" s="5" t="s">
        <v>346</v>
      </c>
      <c r="C110" s="93" t="n">
        <f aca="false">C34</f>
        <v>0</v>
      </c>
      <c r="D110" s="93" t="n">
        <f aca="false">D34</f>
        <v>0</v>
      </c>
      <c r="E110" s="93" t="n">
        <f aca="false">E34</f>
        <v>0</v>
      </c>
      <c r="F110" s="93" t="n">
        <f aca="false">F34</f>
        <v>0</v>
      </c>
      <c r="G110" s="93" t="n">
        <f aca="false">G34</f>
        <v>0</v>
      </c>
      <c r="H110" s="93" t="n">
        <f aca="false">H34</f>
        <v>0</v>
      </c>
      <c r="I110" s="93" t="n">
        <f aca="false">I34</f>
        <v>0</v>
      </c>
      <c r="J110" s="93" t="n">
        <f aca="false">J34</f>
        <v>0</v>
      </c>
      <c r="K110" s="93" t="n">
        <f aca="false">K34</f>
        <v>0</v>
      </c>
      <c r="L110" s="93" t="n">
        <f aca="false">L34</f>
        <v>0</v>
      </c>
      <c r="M110" s="93" t="n">
        <f aca="false">M34</f>
        <v>0</v>
      </c>
      <c r="N110" s="93" t="n">
        <f aca="false">N34</f>
        <v>0</v>
      </c>
      <c r="O110" s="93" t="n">
        <f aca="false">SUM(C110:N110)</f>
        <v>0</v>
      </c>
      <c r="P110" s="93" t="n">
        <f aca="false">SUM(I110:N110)</f>
        <v>0</v>
      </c>
    </row>
    <row r="111" customFormat="false" ht="15" hidden="false" customHeight="false" outlineLevel="1" collapsed="false">
      <c r="B111" s="5" t="s">
        <v>347</v>
      </c>
      <c r="C111" s="93" t="n">
        <f aca="false">C35</f>
        <v>0</v>
      </c>
      <c r="D111" s="93" t="n">
        <f aca="false">D35</f>
        <v>0</v>
      </c>
      <c r="E111" s="93" t="n">
        <f aca="false">E35</f>
        <v>0</v>
      </c>
      <c r="F111" s="93" t="n">
        <f aca="false">F35</f>
        <v>0</v>
      </c>
      <c r="G111" s="93" t="n">
        <f aca="false">G35</f>
        <v>0</v>
      </c>
      <c r="H111" s="93" t="n">
        <f aca="false">H35</f>
        <v>0</v>
      </c>
      <c r="I111" s="93" t="n">
        <f aca="false">I35</f>
        <v>0</v>
      </c>
      <c r="J111" s="93" t="n">
        <f aca="false">J35</f>
        <v>0</v>
      </c>
      <c r="K111" s="93" t="n">
        <f aca="false">K35</f>
        <v>0</v>
      </c>
      <c r="L111" s="93" t="n">
        <f aca="false">L35</f>
        <v>0</v>
      </c>
      <c r="M111" s="93" t="n">
        <f aca="false">M35</f>
        <v>0</v>
      </c>
      <c r="N111" s="93" t="n">
        <f aca="false">N35</f>
        <v>0</v>
      </c>
      <c r="O111" s="93" t="n">
        <f aca="false">SUM(C111:N111)</f>
        <v>0</v>
      </c>
      <c r="P111" s="93" t="n">
        <f aca="false">SUM(I111:N111)</f>
        <v>0</v>
      </c>
    </row>
    <row r="112" customFormat="false" ht="15" hidden="false" customHeight="false" outlineLevel="0" collapsed="false">
      <c r="B112" s="12" t="s">
        <v>348</v>
      </c>
      <c r="C112" s="118" t="n">
        <f aca="false">SUM(C113:C115)</f>
        <v>4654.458</v>
      </c>
      <c r="D112" s="118" t="n">
        <f aca="false">SUM(D113:D115)</f>
        <v>4650.976</v>
      </c>
      <c r="E112" s="118" t="n">
        <f aca="false">SUM(E113:E115)</f>
        <v>4649.648</v>
      </c>
      <c r="F112" s="118" t="n">
        <f aca="false">SUM(F113:F115)</f>
        <v>2069.6</v>
      </c>
      <c r="G112" s="118" t="n">
        <f aca="false">SUM(G113:G115)</f>
        <v>2069.6</v>
      </c>
      <c r="H112" s="118" t="n">
        <f aca="false">SUM(H113:H115)</f>
        <v>2069.6</v>
      </c>
      <c r="I112" s="118" t="n">
        <f aca="false">SUM(I113:I115)</f>
        <v>2069.6</v>
      </c>
      <c r="J112" s="118" t="n">
        <f aca="false">SUM(J113:J115)</f>
        <v>2069.6</v>
      </c>
      <c r="K112" s="118" t="n">
        <f aca="false">SUM(K113:K115)</f>
        <v>2069.6</v>
      </c>
      <c r="L112" s="118" t="n">
        <f aca="false">SUM(L113:L115)</f>
        <v>2069.6</v>
      </c>
      <c r="M112" s="118" t="n">
        <f aca="false">SUM(M113:M115)</f>
        <v>2069.6</v>
      </c>
      <c r="N112" s="118" t="n">
        <f aca="false">SUM(N113:N115)</f>
        <v>2069.6</v>
      </c>
      <c r="O112" s="93" t="n">
        <f aca="false">SUM(C112:N112)</f>
        <v>32581.482</v>
      </c>
      <c r="P112" s="93" t="n">
        <f aca="false">SUM(I112:N112)</f>
        <v>12417.6</v>
      </c>
    </row>
    <row r="113" customFormat="false" ht="15" hidden="false" customHeight="false" outlineLevel="1" collapsed="false">
      <c r="B113" s="5" t="s">
        <v>349</v>
      </c>
      <c r="C113" s="93" t="n">
        <f aca="false">C37</f>
        <v>0</v>
      </c>
      <c r="D113" s="93" t="n">
        <f aca="false">D37</f>
        <v>0</v>
      </c>
      <c r="E113" s="93" t="n">
        <f aca="false">E37</f>
        <v>0</v>
      </c>
      <c r="F113" s="93" t="n">
        <f aca="false">F37</f>
        <v>0</v>
      </c>
      <c r="G113" s="93" t="n">
        <f aca="false">G37</f>
        <v>0</v>
      </c>
      <c r="H113" s="93" t="n">
        <f aca="false">H37</f>
        <v>0</v>
      </c>
      <c r="I113" s="93" t="n">
        <f aca="false">I37</f>
        <v>0</v>
      </c>
      <c r="J113" s="93" t="n">
        <f aca="false">J37</f>
        <v>0</v>
      </c>
      <c r="K113" s="93" t="n">
        <f aca="false">K37</f>
        <v>0</v>
      </c>
      <c r="L113" s="93" t="n">
        <f aca="false">L37</f>
        <v>0</v>
      </c>
      <c r="M113" s="93" t="n">
        <f aca="false">M37</f>
        <v>0</v>
      </c>
      <c r="N113" s="93" t="n">
        <f aca="false">N37</f>
        <v>0</v>
      </c>
      <c r="O113" s="93" t="n">
        <f aca="false">SUM(C113:N113)</f>
        <v>0</v>
      </c>
      <c r="P113" s="93" t="n">
        <f aca="false">SUM(I113:N113)</f>
        <v>0</v>
      </c>
    </row>
    <row r="114" customFormat="false" ht="15" hidden="false" customHeight="false" outlineLevel="1" collapsed="false">
      <c r="B114" s="5" t="s">
        <v>350</v>
      </c>
      <c r="C114" s="93" t="n">
        <f aca="false">C38</f>
        <v>3216.858</v>
      </c>
      <c r="D114" s="93" t="n">
        <f aca="false">D38</f>
        <v>3213.376</v>
      </c>
      <c r="E114" s="93" t="n">
        <f aca="false">E38</f>
        <v>3212.048</v>
      </c>
      <c r="F114" s="93" t="n">
        <f aca="false">F38</f>
        <v>632</v>
      </c>
      <c r="G114" s="93" t="n">
        <f aca="false">G38</f>
        <v>632</v>
      </c>
      <c r="H114" s="93" t="n">
        <f aca="false">H38</f>
        <v>632</v>
      </c>
      <c r="I114" s="93" t="n">
        <f aca="false">I38</f>
        <v>632</v>
      </c>
      <c r="J114" s="93" t="n">
        <f aca="false">J38</f>
        <v>632</v>
      </c>
      <c r="K114" s="93" t="n">
        <f aca="false">K38</f>
        <v>632</v>
      </c>
      <c r="L114" s="93" t="n">
        <f aca="false">L38</f>
        <v>632</v>
      </c>
      <c r="M114" s="93" t="n">
        <f aca="false">M38</f>
        <v>632</v>
      </c>
      <c r="N114" s="93" t="n">
        <f aca="false">N38</f>
        <v>632</v>
      </c>
      <c r="O114" s="93" t="n">
        <f aca="false">SUM(C114:N114)</f>
        <v>15330.282</v>
      </c>
      <c r="P114" s="93" t="n">
        <f aca="false">SUM(I114:N114)</f>
        <v>3792</v>
      </c>
    </row>
    <row r="115" customFormat="false" ht="15" hidden="false" customHeight="false" outlineLevel="1" collapsed="false">
      <c r="B115" s="5" t="s">
        <v>351</v>
      </c>
      <c r="C115" s="93" t="n">
        <f aca="false">C39</f>
        <v>1437.6</v>
      </c>
      <c r="D115" s="93" t="n">
        <f aca="false">D39</f>
        <v>1437.6</v>
      </c>
      <c r="E115" s="93" t="n">
        <f aca="false">E39</f>
        <v>1437.6</v>
      </c>
      <c r="F115" s="93" t="n">
        <f aca="false">F39</f>
        <v>1437.6</v>
      </c>
      <c r="G115" s="93" t="n">
        <f aca="false">G39</f>
        <v>1437.6</v>
      </c>
      <c r="H115" s="93" t="n">
        <f aca="false">H39</f>
        <v>1437.6</v>
      </c>
      <c r="I115" s="93" t="n">
        <f aca="false">I39</f>
        <v>1437.6</v>
      </c>
      <c r="J115" s="93" t="n">
        <f aca="false">J39</f>
        <v>1437.6</v>
      </c>
      <c r="K115" s="93" t="n">
        <f aca="false">K39</f>
        <v>1437.6</v>
      </c>
      <c r="L115" s="93" t="n">
        <f aca="false">L39</f>
        <v>1437.6</v>
      </c>
      <c r="M115" s="93" t="n">
        <f aca="false">M39</f>
        <v>1437.6</v>
      </c>
      <c r="N115" s="93" t="n">
        <f aca="false">N39</f>
        <v>1437.6</v>
      </c>
      <c r="O115" s="93" t="n">
        <f aca="false">SUM(C115:N115)</f>
        <v>17251.2</v>
      </c>
      <c r="P115" s="93" t="n">
        <f aca="false">SUM(I115:N115)</f>
        <v>8625.6</v>
      </c>
    </row>
    <row r="116" customFormat="false" ht="15" hidden="false" customHeight="false" outlineLevel="0" collapsed="false">
      <c r="B116" s="12" t="s">
        <v>352</v>
      </c>
      <c r="C116" s="118" t="n">
        <f aca="false">SUM(C117:C137)</f>
        <v>101198.778196667</v>
      </c>
      <c r="D116" s="118" t="n">
        <f aca="false">SUM(D117:D137)</f>
        <v>92637.1607233333</v>
      </c>
      <c r="E116" s="118" t="n">
        <f aca="false">SUM(E117:E137)</f>
        <v>79802.7758674978</v>
      </c>
      <c r="F116" s="118" t="n">
        <f aca="false">SUM(F117:F137)</f>
        <v>75996.9078</v>
      </c>
      <c r="G116" s="118" t="n">
        <f aca="false">SUM(G117:G137)</f>
        <v>73366.4724</v>
      </c>
      <c r="H116" s="118" t="n">
        <f aca="false">SUM(H117:H137)</f>
        <v>85549.8789</v>
      </c>
      <c r="I116" s="118" t="n">
        <f aca="false">SUM(I117:I137)</f>
        <v>74334.1591</v>
      </c>
      <c r="J116" s="118" t="n">
        <f aca="false">SUM(J117:J137)</f>
        <v>72658.6403666667</v>
      </c>
      <c r="K116" s="118" t="n">
        <f aca="false">SUM(K117:K137)</f>
        <v>85349.5623666667</v>
      </c>
      <c r="L116" s="118" t="n">
        <f aca="false">SUM(L117:L137)</f>
        <v>79676.5483666667</v>
      </c>
      <c r="M116" s="118" t="n">
        <f aca="false">SUM(M117:M137)</f>
        <v>78822.6623666667</v>
      </c>
      <c r="N116" s="118" t="n">
        <f aca="false">SUM(N117:N137)</f>
        <v>78344.5483666667</v>
      </c>
      <c r="O116" s="93" t="n">
        <f aca="false">SUM(C116:N116)</f>
        <v>977738.094820831</v>
      </c>
      <c r="P116" s="93" t="n">
        <f aca="false">SUM(I116:N116)</f>
        <v>469186.120933333</v>
      </c>
    </row>
    <row r="117" customFormat="false" ht="15" hidden="false" customHeight="false" outlineLevel="1" collapsed="false">
      <c r="B117" s="119" t="s">
        <v>353</v>
      </c>
      <c r="C117" s="120" t="n">
        <f aca="false">C41+C74</f>
        <v>16456.42208</v>
      </c>
      <c r="D117" s="120" t="n">
        <f aca="false">D41+D74</f>
        <v>8596.93692</v>
      </c>
      <c r="E117" s="120" t="n">
        <f aca="false">E41+E74</f>
        <v>4820.79764</v>
      </c>
      <c r="F117" s="120" t="n">
        <f aca="false">F41+F74</f>
        <v>3650</v>
      </c>
      <c r="G117" s="120" t="n">
        <f aca="false">G41+G74</f>
        <v>1000</v>
      </c>
      <c r="H117" s="120" t="n">
        <f aca="false">H41+H74</f>
        <v>7500</v>
      </c>
      <c r="I117" s="120" t="n">
        <f aca="false">I41+I74</f>
        <v>1500</v>
      </c>
      <c r="J117" s="120" t="n">
        <f aca="false">J41+J74</f>
        <v>1997.312</v>
      </c>
      <c r="K117" s="120" t="n">
        <f aca="false">K41+K74</f>
        <v>8997.024</v>
      </c>
      <c r="L117" s="120" t="n">
        <f aca="false">L41+L74</f>
        <v>5747.12</v>
      </c>
      <c r="M117" s="120" t="n">
        <f aca="false">M41+M74</f>
        <v>4247.024</v>
      </c>
      <c r="N117" s="120" t="n">
        <f aca="false">N41+N74</f>
        <v>4247.12</v>
      </c>
      <c r="O117" s="120" t="n">
        <f aca="false">SUM(C117:N117)</f>
        <v>68759.75664</v>
      </c>
      <c r="P117" s="120" t="n">
        <f aca="false">SUM(I117:N117)</f>
        <v>26735.6</v>
      </c>
      <c r="Q117" s="67" t="s">
        <v>448</v>
      </c>
    </row>
    <row r="118" customFormat="false" ht="15" hidden="false" customHeight="false" outlineLevel="1" collapsed="false">
      <c r="B118" s="5" t="s">
        <v>354</v>
      </c>
      <c r="C118" s="93" t="n">
        <f aca="false">C42</f>
        <v>0</v>
      </c>
      <c r="D118" s="93" t="n">
        <f aca="false">D42</f>
        <v>0</v>
      </c>
      <c r="E118" s="93" t="n">
        <f aca="false">E42</f>
        <v>0</v>
      </c>
      <c r="F118" s="93" t="n">
        <f aca="false">F42</f>
        <v>0</v>
      </c>
      <c r="G118" s="93" t="n">
        <f aca="false">G42</f>
        <v>0</v>
      </c>
      <c r="H118" s="93" t="n">
        <f aca="false">H42</f>
        <v>0</v>
      </c>
      <c r="I118" s="93" t="n">
        <f aca="false">I42</f>
        <v>0</v>
      </c>
      <c r="J118" s="93" t="n">
        <f aca="false">J42</f>
        <v>0</v>
      </c>
      <c r="K118" s="93" t="n">
        <f aca="false">K42</f>
        <v>0</v>
      </c>
      <c r="L118" s="93" t="n">
        <f aca="false">L42</f>
        <v>0</v>
      </c>
      <c r="M118" s="93" t="n">
        <f aca="false">M42</f>
        <v>0</v>
      </c>
      <c r="N118" s="93" t="n">
        <f aca="false">N42</f>
        <v>0</v>
      </c>
      <c r="O118" s="93" t="n">
        <f aca="false">SUM(C118:N118)</f>
        <v>0</v>
      </c>
      <c r="P118" s="93" t="n">
        <f aca="false">SUM(I118:N118)</f>
        <v>0</v>
      </c>
    </row>
    <row r="119" customFormat="false" ht="15" hidden="false" customHeight="false" outlineLevel="1" collapsed="false">
      <c r="B119" s="119" t="s">
        <v>355</v>
      </c>
      <c r="C119" s="120" t="n">
        <f aca="false">C43+C76+C79</f>
        <v>250.3</v>
      </c>
      <c r="D119" s="120" t="n">
        <f aca="false">D43+D76+D79</f>
        <v>964.2</v>
      </c>
      <c r="E119" s="120" t="n">
        <f aca="false">E43+E76+E79</f>
        <v>2554.4</v>
      </c>
      <c r="F119" s="120" t="n">
        <f aca="false">F43+F76+F79</f>
        <v>1230</v>
      </c>
      <c r="G119" s="120" t="n">
        <f aca="false">G43+G76+G79</f>
        <v>600</v>
      </c>
      <c r="H119" s="120" t="n">
        <f aca="false">H43+H76+H79</f>
        <v>1230</v>
      </c>
      <c r="I119" s="120" t="n">
        <f aca="false">I43+I76+I79</f>
        <v>370</v>
      </c>
      <c r="J119" s="120" t="n">
        <f aca="false">J43+J76+J79</f>
        <v>507.5</v>
      </c>
      <c r="K119" s="120" t="n">
        <f aca="false">K43+K76+K79</f>
        <v>967.5</v>
      </c>
      <c r="L119" s="120" t="n">
        <f aca="false">L43+L76+L79</f>
        <v>767.5</v>
      </c>
      <c r="M119" s="120" t="n">
        <f aca="false">M43+M76+M79</f>
        <v>767.5</v>
      </c>
      <c r="N119" s="120" t="n">
        <f aca="false">N43+N76+N79</f>
        <v>767.5</v>
      </c>
      <c r="O119" s="120" t="n">
        <f aca="false">SUM(C119:N119)</f>
        <v>10976.4</v>
      </c>
      <c r="P119" s="120" t="n">
        <f aca="false">SUM(I119:N119)</f>
        <v>4147.5</v>
      </c>
      <c r="Q119" s="67" t="s">
        <v>448</v>
      </c>
    </row>
    <row r="120" customFormat="false" ht="15" hidden="false" customHeight="false" outlineLevel="1" collapsed="false">
      <c r="B120" s="5" t="s">
        <v>356</v>
      </c>
      <c r="C120" s="93" t="n">
        <f aca="false">C44</f>
        <v>370.75533333333</v>
      </c>
      <c r="D120" s="93" t="n">
        <f aca="false">D44</f>
        <v>324.74966666667</v>
      </c>
      <c r="E120" s="93" t="n">
        <f aca="false">E44</f>
        <v>361.24966666667</v>
      </c>
      <c r="F120" s="93" t="n">
        <f aca="false">F44</f>
        <v>0</v>
      </c>
      <c r="G120" s="93" t="n">
        <f aca="false">G44</f>
        <v>0</v>
      </c>
      <c r="H120" s="93" t="n">
        <f aca="false">H44</f>
        <v>0</v>
      </c>
      <c r="I120" s="93" t="n">
        <f aca="false">I44</f>
        <v>0</v>
      </c>
      <c r="J120" s="93" t="n">
        <f aca="false">J44</f>
        <v>0</v>
      </c>
      <c r="K120" s="93" t="n">
        <f aca="false">K44</f>
        <v>0</v>
      </c>
      <c r="L120" s="93" t="n">
        <f aca="false">L44</f>
        <v>0</v>
      </c>
      <c r="M120" s="93" t="n">
        <f aca="false">M44</f>
        <v>0</v>
      </c>
      <c r="N120" s="93" t="n">
        <f aca="false">N44</f>
        <v>0</v>
      </c>
      <c r="O120" s="93" t="n">
        <f aca="false">SUM(C120:N120)</f>
        <v>1056.75466666667</v>
      </c>
      <c r="P120" s="93" t="n">
        <f aca="false">SUM(I120:N120)</f>
        <v>0</v>
      </c>
    </row>
    <row r="121" customFormat="false" ht="15" hidden="false" customHeight="false" outlineLevel="1" collapsed="false">
      <c r="B121" s="5" t="s">
        <v>357</v>
      </c>
      <c r="C121" s="93" t="n">
        <f aca="false">C45</f>
        <v>0</v>
      </c>
      <c r="D121" s="93" t="n">
        <f aca="false">D45</f>
        <v>0</v>
      </c>
      <c r="E121" s="93" t="n">
        <f aca="false">E45</f>
        <v>0</v>
      </c>
      <c r="F121" s="93" t="n">
        <f aca="false">F45</f>
        <v>0</v>
      </c>
      <c r="G121" s="93" t="n">
        <f aca="false">G45</f>
        <v>0</v>
      </c>
      <c r="H121" s="93" t="n">
        <f aca="false">H45</f>
        <v>0</v>
      </c>
      <c r="I121" s="93" t="n">
        <f aca="false">I45</f>
        <v>0</v>
      </c>
      <c r="J121" s="93" t="n">
        <f aca="false">J45</f>
        <v>0</v>
      </c>
      <c r="K121" s="93" t="n">
        <f aca="false">K45</f>
        <v>0</v>
      </c>
      <c r="L121" s="93" t="n">
        <f aca="false">L45</f>
        <v>0</v>
      </c>
      <c r="M121" s="93" t="n">
        <f aca="false">M45</f>
        <v>0</v>
      </c>
      <c r="N121" s="93" t="n">
        <f aca="false">N45</f>
        <v>0</v>
      </c>
      <c r="O121" s="93" t="n">
        <f aca="false">SUM(C121:N121)</f>
        <v>0</v>
      </c>
      <c r="P121" s="93" t="n">
        <f aca="false">SUM(I121:N121)</f>
        <v>0</v>
      </c>
    </row>
    <row r="122" customFormat="false" ht="15" hidden="false" customHeight="false" outlineLevel="1" collapsed="false">
      <c r="B122" s="5" t="s">
        <v>358</v>
      </c>
      <c r="C122" s="93" t="n">
        <f aca="false">C46</f>
        <v>1.44</v>
      </c>
      <c r="D122" s="93" t="n">
        <f aca="false">D46</f>
        <v>9.433</v>
      </c>
      <c r="E122" s="93" t="n">
        <f aca="false">E46</f>
        <v>54.403</v>
      </c>
      <c r="F122" s="93" t="n">
        <f aca="false">F46</f>
        <v>90</v>
      </c>
      <c r="G122" s="93" t="n">
        <f aca="false">G46</f>
        <v>90</v>
      </c>
      <c r="H122" s="93" t="n">
        <f aca="false">H46</f>
        <v>90</v>
      </c>
      <c r="I122" s="93" t="n">
        <f aca="false">I46</f>
        <v>90</v>
      </c>
      <c r="J122" s="93" t="n">
        <f aca="false">J46</f>
        <v>90</v>
      </c>
      <c r="K122" s="93" t="n">
        <f aca="false">K46</f>
        <v>120</v>
      </c>
      <c r="L122" s="93" t="n">
        <f aca="false">L46</f>
        <v>90</v>
      </c>
      <c r="M122" s="93" t="n">
        <f aca="false">M46</f>
        <v>90</v>
      </c>
      <c r="N122" s="93" t="n">
        <f aca="false">N46</f>
        <v>250</v>
      </c>
      <c r="O122" s="93" t="n">
        <f aca="false">SUM(C122:N122)</f>
        <v>1065.276</v>
      </c>
      <c r="P122" s="93" t="n">
        <f aca="false">SUM(I122:N122)</f>
        <v>730</v>
      </c>
    </row>
    <row r="123" customFormat="false" ht="15" hidden="false" customHeight="false" outlineLevel="1" collapsed="false">
      <c r="B123" s="5" t="s">
        <v>359</v>
      </c>
      <c r="C123" s="93" t="n">
        <f aca="false">C47</f>
        <v>240.71333333333</v>
      </c>
      <c r="D123" s="93" t="n">
        <f aca="false">D47</f>
        <v>122.218</v>
      </c>
      <c r="E123" s="93" t="n">
        <f aca="false">E47</f>
        <v>115.669</v>
      </c>
      <c r="F123" s="93" t="n">
        <f aca="false">F47</f>
        <v>126</v>
      </c>
      <c r="G123" s="93" t="n">
        <f aca="false">G47</f>
        <v>126</v>
      </c>
      <c r="H123" s="93" t="n">
        <f aca="false">H47</f>
        <v>126</v>
      </c>
      <c r="I123" s="93" t="n">
        <f aca="false">I47</f>
        <v>126</v>
      </c>
      <c r="J123" s="93" t="n">
        <f aca="false">J47</f>
        <v>126</v>
      </c>
      <c r="K123" s="93" t="n">
        <f aca="false">K47</f>
        <v>126</v>
      </c>
      <c r="L123" s="93" t="n">
        <f aca="false">L47</f>
        <v>126</v>
      </c>
      <c r="M123" s="93" t="n">
        <f aca="false">M47</f>
        <v>126</v>
      </c>
      <c r="N123" s="93" t="n">
        <f aca="false">N47</f>
        <v>126</v>
      </c>
      <c r="O123" s="93" t="n">
        <f aca="false">SUM(C123:N123)</f>
        <v>1612.60033333333</v>
      </c>
      <c r="P123" s="93" t="n">
        <f aca="false">SUM(I123:N123)</f>
        <v>756</v>
      </c>
    </row>
    <row r="124" customFormat="false" ht="15" hidden="false" customHeight="false" outlineLevel="1" collapsed="false">
      <c r="B124" s="119" t="s">
        <v>360</v>
      </c>
      <c r="C124" s="120" t="n">
        <f aca="false">C48+C75</f>
        <v>14038.49745</v>
      </c>
      <c r="D124" s="120" t="n">
        <f aca="false">D48+D75</f>
        <v>12075.49947</v>
      </c>
      <c r="E124" s="120" t="n">
        <f aca="false">E48+E75</f>
        <v>13733.26034</v>
      </c>
      <c r="F124" s="120" t="n">
        <f aca="false">F48+F75</f>
        <v>10933</v>
      </c>
      <c r="G124" s="120" t="n">
        <f aca="false">G48+G75</f>
        <v>11433</v>
      </c>
      <c r="H124" s="120" t="n">
        <f aca="false">H48+H75</f>
        <v>11633</v>
      </c>
      <c r="I124" s="120" t="n">
        <f aca="false">I48+I75</f>
        <v>11433</v>
      </c>
      <c r="J124" s="120" t="n">
        <f aca="false">J48+J75</f>
        <v>10938.88</v>
      </c>
      <c r="K124" s="120" t="n">
        <f aca="false">K48+K75</f>
        <v>11439.51</v>
      </c>
      <c r="L124" s="120" t="n">
        <f aca="false">L48+L75</f>
        <v>10939.3</v>
      </c>
      <c r="M124" s="120" t="n">
        <f aca="false">M48+M75</f>
        <v>10939.51</v>
      </c>
      <c r="N124" s="120" t="n">
        <f aca="false">N48+N75</f>
        <v>10939.3</v>
      </c>
      <c r="O124" s="120" t="n">
        <f aca="false">SUM(C124:N124)</f>
        <v>140475.75726</v>
      </c>
      <c r="P124" s="120" t="n">
        <f aca="false">SUM(I124:N124)</f>
        <v>66629.5</v>
      </c>
      <c r="Q124" s="67" t="s">
        <v>448</v>
      </c>
    </row>
    <row r="125" customFormat="false" ht="15" hidden="false" customHeight="false" outlineLevel="1" collapsed="false">
      <c r="B125" s="5" t="s">
        <v>361</v>
      </c>
      <c r="C125" s="93" t="n">
        <f aca="false">C49</f>
        <v>0</v>
      </c>
      <c r="D125" s="93" t="n">
        <f aca="false">D49</f>
        <v>0</v>
      </c>
      <c r="E125" s="93" t="n">
        <f aca="false">E49</f>
        <v>0</v>
      </c>
      <c r="F125" s="93" t="n">
        <f aca="false">F49</f>
        <v>0</v>
      </c>
      <c r="G125" s="93" t="n">
        <f aca="false">G49</f>
        <v>0</v>
      </c>
      <c r="H125" s="93" t="n">
        <f aca="false">H49</f>
        <v>0</v>
      </c>
      <c r="I125" s="93" t="n">
        <f aca="false">I49</f>
        <v>0</v>
      </c>
      <c r="J125" s="93" t="n">
        <f aca="false">J49</f>
        <v>0</v>
      </c>
      <c r="K125" s="93" t="n">
        <f aca="false">K49</f>
        <v>0</v>
      </c>
      <c r="L125" s="93" t="n">
        <f aca="false">L49</f>
        <v>0</v>
      </c>
      <c r="M125" s="93" t="n">
        <f aca="false">M49</f>
        <v>0</v>
      </c>
      <c r="N125" s="93" t="n">
        <f aca="false">N49</f>
        <v>0</v>
      </c>
      <c r="O125" s="93" t="n">
        <f aca="false">SUM(C125:N125)</f>
        <v>0</v>
      </c>
      <c r="P125" s="93" t="n">
        <f aca="false">SUM(I125:N125)</f>
        <v>0</v>
      </c>
    </row>
    <row r="126" customFormat="false" ht="15" hidden="false" customHeight="false" outlineLevel="1" collapsed="false">
      <c r="B126" s="5" t="s">
        <v>362</v>
      </c>
      <c r="C126" s="93" t="n">
        <f aca="false">C50</f>
        <v>48160.854</v>
      </c>
      <c r="D126" s="93" t="n">
        <f aca="false">D50</f>
        <v>46164.248</v>
      </c>
      <c r="E126" s="93" t="n">
        <f aca="false">E50</f>
        <v>43385.6145541644</v>
      </c>
      <c r="F126" s="93" t="n">
        <f aca="false">F50</f>
        <v>37235.6795</v>
      </c>
      <c r="G126" s="93" t="n">
        <f aca="false">G50</f>
        <v>36164.2441</v>
      </c>
      <c r="H126" s="93" t="n">
        <f aca="false">H50</f>
        <v>40835.3172</v>
      </c>
      <c r="I126" s="93" t="n">
        <f aca="false">I50</f>
        <v>37124.5974</v>
      </c>
      <c r="J126" s="93" t="n">
        <f aca="false">J50</f>
        <v>35166.72</v>
      </c>
      <c r="K126" s="93" t="n">
        <f aca="false">K50</f>
        <v>39837.3</v>
      </c>
      <c r="L126" s="93" t="n">
        <f aca="false">L50</f>
        <v>38174.4</v>
      </c>
      <c r="M126" s="93" t="n">
        <f aca="false">M50</f>
        <v>38656.4</v>
      </c>
      <c r="N126" s="93" t="n">
        <f aca="false">N50</f>
        <v>37451.4</v>
      </c>
      <c r="O126" s="93" t="n">
        <f aca="false">SUM(C126:N126)</f>
        <v>478356.774754164</v>
      </c>
      <c r="P126" s="93" t="n">
        <f aca="false">SUM(I126:N126)</f>
        <v>226410.8174</v>
      </c>
    </row>
    <row r="127" customFormat="false" ht="15" hidden="false" customHeight="false" outlineLevel="1" collapsed="false">
      <c r="B127" s="5" t="s">
        <v>363</v>
      </c>
      <c r="C127" s="108" t="n">
        <f aca="false">IF(C125=0,0,C126/C125)</f>
        <v>0</v>
      </c>
      <c r="D127" s="108" t="n">
        <f aca="false">IF(D125=0,0,D126/D125)</f>
        <v>0</v>
      </c>
      <c r="E127" s="108" t="n">
        <f aca="false">IF(E125=0,0,E126/E125)</f>
        <v>0</v>
      </c>
      <c r="F127" s="108" t="n">
        <f aca="false">IF(F125=0,0,F126/F125)</f>
        <v>0</v>
      </c>
      <c r="G127" s="108" t="n">
        <f aca="false">IF(G125=0,0,G126/G125)</f>
        <v>0</v>
      </c>
      <c r="H127" s="108" t="n">
        <f aca="false">IF(H125=0,0,H126/H125)</f>
        <v>0</v>
      </c>
      <c r="I127" s="108" t="n">
        <f aca="false">IF(I125=0,0,I126/I125)</f>
        <v>0</v>
      </c>
      <c r="J127" s="108" t="n">
        <f aca="false">IF(J125=0,0,J126/J125)</f>
        <v>0</v>
      </c>
      <c r="K127" s="108" t="n">
        <f aca="false">IF(K125=0,0,K126/K125)</f>
        <v>0</v>
      </c>
      <c r="L127" s="108" t="n">
        <f aca="false">IF(L125=0,0,L126/L125)</f>
        <v>0</v>
      </c>
      <c r="M127" s="108" t="n">
        <f aca="false">IF(M125=0,0,M126/M125)</f>
        <v>0</v>
      </c>
      <c r="N127" s="108" t="n">
        <f aca="false">IF(N125=0,0,N126/N125)</f>
        <v>0</v>
      </c>
      <c r="O127" s="108" t="n">
        <f aca="false">IF(O125=0,0,O126/O125)</f>
        <v>0</v>
      </c>
      <c r="P127" s="108" t="n">
        <f aca="false">IF(P125=0,0,P126/P125)</f>
        <v>0</v>
      </c>
    </row>
    <row r="128" customFormat="false" ht="15" hidden="false" customHeight="false" outlineLevel="1" collapsed="false">
      <c r="B128" s="5" t="s">
        <v>364</v>
      </c>
      <c r="C128" s="108" t="n">
        <f aca="false">IF(C126=0,0,C127/C126)</f>
        <v>0</v>
      </c>
      <c r="D128" s="108" t="n">
        <f aca="false">IF(D126=0,0,D127/D126)</f>
        <v>0</v>
      </c>
      <c r="E128" s="108" t="n">
        <f aca="false">IF(E126=0,0,E127/E126)</f>
        <v>0</v>
      </c>
      <c r="F128" s="108" t="n">
        <f aca="false">IF(F126=0,0,F127/F126)</f>
        <v>0</v>
      </c>
      <c r="G128" s="108" t="n">
        <f aca="false">IF(G126=0,0,G127/G126)</f>
        <v>0</v>
      </c>
      <c r="H128" s="108" t="n">
        <f aca="false">IF(H126=0,0,H127/H126)</f>
        <v>0</v>
      </c>
      <c r="I128" s="108" t="n">
        <f aca="false">IF(I126=0,0,I127/I126)</f>
        <v>0</v>
      </c>
      <c r="J128" s="108" t="n">
        <f aca="false">IF(J126=0,0,J127/J126)</f>
        <v>0</v>
      </c>
      <c r="K128" s="108" t="n">
        <f aca="false">IF(K126=0,0,K127/K126)</f>
        <v>0</v>
      </c>
      <c r="L128" s="108" t="n">
        <f aca="false">IF(L126=0,0,L127/L126)</f>
        <v>0</v>
      </c>
      <c r="M128" s="108" t="n">
        <f aca="false">IF(M126=0,0,M127/M126)</f>
        <v>0</v>
      </c>
      <c r="N128" s="108" t="n">
        <f aca="false">IF(N126=0,0,N127/N126)</f>
        <v>0</v>
      </c>
      <c r="O128" s="108" t="n">
        <f aca="false">IF(O126=0,0,O127/O126)</f>
        <v>0</v>
      </c>
      <c r="P128" s="108" t="n">
        <f aca="false">IF(P126=0,0,P127/P126)</f>
        <v>0</v>
      </c>
    </row>
    <row r="129" customFormat="false" ht="15" hidden="false" customHeight="false" outlineLevel="1" collapsed="false">
      <c r="B129" s="5" t="s">
        <v>365</v>
      </c>
      <c r="C129" s="93" t="n">
        <f aca="false">C53</f>
        <v>7878.869</v>
      </c>
      <c r="D129" s="93" t="n">
        <f aca="false">D53</f>
        <v>7542.759</v>
      </c>
      <c r="E129" s="93" t="n">
        <f aca="false">E53</f>
        <v>8222.931</v>
      </c>
      <c r="F129" s="93" t="n">
        <f aca="false">F53</f>
        <v>8837</v>
      </c>
      <c r="G129" s="93" t="n">
        <f aca="false">G53</f>
        <v>8962</v>
      </c>
      <c r="H129" s="93" t="n">
        <f aca="false">H53</f>
        <v>8962</v>
      </c>
      <c r="I129" s="93" t="n">
        <f aca="false">I53</f>
        <v>8837</v>
      </c>
      <c r="J129" s="93" t="n">
        <f aca="false">J53</f>
        <v>8812</v>
      </c>
      <c r="K129" s="93" t="n">
        <f aca="false">K53</f>
        <v>8812</v>
      </c>
      <c r="L129" s="93" t="n">
        <f aca="false">L53</f>
        <v>8812</v>
      </c>
      <c r="M129" s="93" t="n">
        <f aca="false">M53</f>
        <v>8812</v>
      </c>
      <c r="N129" s="93" t="n">
        <f aca="false">N53</f>
        <v>8962</v>
      </c>
      <c r="O129" s="93" t="n">
        <f aca="false">SUM(C129:N129)</f>
        <v>103452.559</v>
      </c>
      <c r="P129" s="93" t="n">
        <f aca="false">SUM(I129:N129)</f>
        <v>53047</v>
      </c>
    </row>
    <row r="130" customFormat="false" ht="15" hidden="false" customHeight="false" outlineLevel="1" collapsed="false">
      <c r="B130" s="5" t="s">
        <v>366</v>
      </c>
      <c r="C130" s="93" t="n">
        <f aca="false">C54</f>
        <v>0</v>
      </c>
      <c r="D130" s="93" t="n">
        <f aca="false">D54</f>
        <v>0</v>
      </c>
      <c r="E130" s="93" t="n">
        <f aca="false">E54</f>
        <v>0</v>
      </c>
      <c r="F130" s="93" t="n">
        <f aca="false">F54</f>
        <v>0</v>
      </c>
      <c r="G130" s="93" t="n">
        <f aca="false">G54</f>
        <v>0</v>
      </c>
      <c r="H130" s="93" t="n">
        <f aca="false">H54</f>
        <v>0</v>
      </c>
      <c r="I130" s="93" t="n">
        <f aca="false">I54</f>
        <v>0</v>
      </c>
      <c r="J130" s="93" t="n">
        <f aca="false">J54</f>
        <v>0</v>
      </c>
      <c r="K130" s="93" t="n">
        <f aca="false">K54</f>
        <v>0</v>
      </c>
      <c r="L130" s="93" t="n">
        <f aca="false">L54</f>
        <v>0</v>
      </c>
      <c r="M130" s="93" t="n">
        <f aca="false">M54</f>
        <v>0</v>
      </c>
      <c r="N130" s="93" t="n">
        <f aca="false">N54</f>
        <v>0</v>
      </c>
      <c r="O130" s="93" t="n">
        <f aca="false">SUM(C130:N130)</f>
        <v>0</v>
      </c>
      <c r="P130" s="93" t="n">
        <f aca="false">SUM(I130:N130)</f>
        <v>0</v>
      </c>
    </row>
    <row r="131" customFormat="false" ht="15" hidden="false" customHeight="false" outlineLevel="1" collapsed="false">
      <c r="B131" s="5" t="s">
        <v>367</v>
      </c>
      <c r="C131" s="93" t="n">
        <f aca="false">C55</f>
        <v>0</v>
      </c>
      <c r="D131" s="93" t="n">
        <f aca="false">D55</f>
        <v>0</v>
      </c>
      <c r="E131" s="93" t="n">
        <f aca="false">E55</f>
        <v>0</v>
      </c>
      <c r="F131" s="93" t="n">
        <f aca="false">F55</f>
        <v>0</v>
      </c>
      <c r="G131" s="93" t="n">
        <f aca="false">G55</f>
        <v>0</v>
      </c>
      <c r="H131" s="93" t="n">
        <f aca="false">H55</f>
        <v>0</v>
      </c>
      <c r="I131" s="93" t="n">
        <f aca="false">I55</f>
        <v>0</v>
      </c>
      <c r="J131" s="93" t="n">
        <f aca="false">J55</f>
        <v>0</v>
      </c>
      <c r="K131" s="93" t="n">
        <f aca="false">K55</f>
        <v>0</v>
      </c>
      <c r="L131" s="93" t="n">
        <f aca="false">L55</f>
        <v>0</v>
      </c>
      <c r="M131" s="93" t="n">
        <f aca="false">M55</f>
        <v>0</v>
      </c>
      <c r="N131" s="93" t="n">
        <f aca="false">N55</f>
        <v>0</v>
      </c>
      <c r="O131" s="93" t="n">
        <f aca="false">SUM(C131:N131)</f>
        <v>0</v>
      </c>
      <c r="P131" s="93" t="n">
        <f aca="false">SUM(I131:N131)</f>
        <v>0</v>
      </c>
    </row>
    <row r="132" customFormat="false" ht="15" hidden="false" customHeight="false" outlineLevel="1" collapsed="false">
      <c r="B132" s="5" t="s">
        <v>368</v>
      </c>
      <c r="C132" s="93" t="n">
        <f aca="false">C56</f>
        <v>1059.403</v>
      </c>
      <c r="D132" s="93" t="n">
        <f aca="false">D56</f>
        <v>1061.529</v>
      </c>
      <c r="E132" s="93" t="n">
        <f aca="false">E56</f>
        <v>1062.592</v>
      </c>
      <c r="F132" s="93" t="n">
        <f aca="false">F56</f>
        <v>1032</v>
      </c>
      <c r="G132" s="93" t="n">
        <f aca="false">G56</f>
        <v>1032</v>
      </c>
      <c r="H132" s="93" t="n">
        <f aca="false">H56</f>
        <v>1032</v>
      </c>
      <c r="I132" s="93" t="n">
        <f aca="false">I56</f>
        <v>1032</v>
      </c>
      <c r="J132" s="93" t="n">
        <f aca="false">J56</f>
        <v>1032</v>
      </c>
      <c r="K132" s="93" t="n">
        <f aca="false">K56</f>
        <v>1032</v>
      </c>
      <c r="L132" s="93" t="n">
        <f aca="false">L56</f>
        <v>1032</v>
      </c>
      <c r="M132" s="93" t="n">
        <f aca="false">M56</f>
        <v>1032</v>
      </c>
      <c r="N132" s="93" t="n">
        <f aca="false">N56</f>
        <v>1032</v>
      </c>
      <c r="O132" s="93" t="n">
        <f aca="false">SUM(C132:N132)</f>
        <v>12471.524</v>
      </c>
      <c r="P132" s="93" t="n">
        <f aca="false">SUM(I132:N132)</f>
        <v>6192</v>
      </c>
    </row>
    <row r="133" customFormat="false" ht="15" hidden="false" customHeight="false" outlineLevel="1" collapsed="false">
      <c r="B133" s="5" t="s">
        <v>369</v>
      </c>
      <c r="C133" s="93" t="n">
        <f aca="false">C57</f>
        <v>0</v>
      </c>
      <c r="D133" s="93" t="n">
        <f aca="false">D57</f>
        <v>0</v>
      </c>
      <c r="E133" s="93" t="n">
        <f aca="false">E57</f>
        <v>0</v>
      </c>
      <c r="F133" s="93" t="n">
        <f aca="false">F57</f>
        <v>0</v>
      </c>
      <c r="G133" s="93" t="n">
        <f aca="false">G57</f>
        <v>0</v>
      </c>
      <c r="H133" s="93" t="n">
        <f aca="false">H57</f>
        <v>0</v>
      </c>
      <c r="I133" s="93" t="n">
        <f aca="false">I57</f>
        <v>0</v>
      </c>
      <c r="J133" s="93" t="n">
        <f aca="false">J57</f>
        <v>0</v>
      </c>
      <c r="K133" s="93" t="n">
        <f aca="false">K57</f>
        <v>0</v>
      </c>
      <c r="L133" s="93" t="n">
        <f aca="false">L57</f>
        <v>0</v>
      </c>
      <c r="M133" s="93" t="n">
        <f aca="false">M57</f>
        <v>0</v>
      </c>
      <c r="N133" s="93" t="n">
        <f aca="false">N57</f>
        <v>0</v>
      </c>
      <c r="O133" s="93" t="n">
        <f aca="false">SUM(C133:N133)</f>
        <v>0</v>
      </c>
      <c r="P133" s="93" t="n">
        <f aca="false">SUM(I133:N133)</f>
        <v>0</v>
      </c>
    </row>
    <row r="134" customFormat="false" ht="15" hidden="false" customHeight="false" outlineLevel="1" collapsed="false">
      <c r="B134" s="5" t="s">
        <v>370</v>
      </c>
      <c r="C134" s="93" t="n">
        <f aca="false">C58</f>
        <v>0</v>
      </c>
      <c r="D134" s="93" t="n">
        <f aca="false">D58</f>
        <v>0</v>
      </c>
      <c r="E134" s="93" t="n">
        <f aca="false">E58</f>
        <v>0</v>
      </c>
      <c r="F134" s="93" t="n">
        <f aca="false">F58</f>
        <v>10</v>
      </c>
      <c r="G134" s="93" t="n">
        <f aca="false">G58</f>
        <v>10</v>
      </c>
      <c r="H134" s="93" t="n">
        <f aca="false">H58</f>
        <v>10</v>
      </c>
      <c r="I134" s="93" t="n">
        <f aca="false">I58</f>
        <v>10</v>
      </c>
      <c r="J134" s="93" t="n">
        <f aca="false">J58</f>
        <v>10</v>
      </c>
      <c r="K134" s="93" t="n">
        <f aca="false">K58</f>
        <v>10</v>
      </c>
      <c r="L134" s="93" t="n">
        <f aca="false">L58</f>
        <v>10</v>
      </c>
      <c r="M134" s="93" t="n">
        <f aca="false">M58</f>
        <v>10</v>
      </c>
      <c r="N134" s="93" t="n">
        <f aca="false">N58</f>
        <v>10</v>
      </c>
      <c r="O134" s="93" t="n">
        <f aca="false">SUM(C134:N134)</f>
        <v>90</v>
      </c>
      <c r="P134" s="93" t="n">
        <f aca="false">SUM(I134:N134)</f>
        <v>60</v>
      </c>
    </row>
    <row r="135" customFormat="false" ht="15" hidden="false" customHeight="false" outlineLevel="1" collapsed="false">
      <c r="B135" s="119" t="s">
        <v>371</v>
      </c>
      <c r="C135" s="120" t="n">
        <f aca="false">C59+C77+C78</f>
        <v>7403.246</v>
      </c>
      <c r="D135" s="120" t="n">
        <f aca="false">D59+D77+D78</f>
        <v>7403.24</v>
      </c>
      <c r="E135" s="120" t="n">
        <f aca="false">E59+E77+E78</f>
        <v>7403.251</v>
      </c>
      <c r="F135" s="120" t="n">
        <f aca="false">F59+F77+F78</f>
        <v>11393.2283</v>
      </c>
      <c r="G135" s="120" t="n">
        <f aca="false">G59+G77+G78</f>
        <v>12143.2283</v>
      </c>
      <c r="H135" s="120" t="n">
        <f aca="false">H59+H77+H78</f>
        <v>12226.5617</v>
      </c>
      <c r="I135" s="120" t="n">
        <f aca="false">I59+I77+I78</f>
        <v>12226.5617</v>
      </c>
      <c r="J135" s="120" t="n">
        <f aca="false">J59+J77+J78</f>
        <v>12518.2283666667</v>
      </c>
      <c r="K135" s="120" t="n">
        <f aca="false">K59+K77+K78</f>
        <v>12518.2283666667</v>
      </c>
      <c r="L135" s="120" t="n">
        <f aca="false">L59+L77+L78</f>
        <v>12518.2283666667</v>
      </c>
      <c r="M135" s="120" t="n">
        <f aca="false">M59+M77+M78</f>
        <v>12518.2283666667</v>
      </c>
      <c r="N135" s="120" t="n">
        <f aca="false">N59+N77+N78</f>
        <v>12518.2283666667</v>
      </c>
      <c r="O135" s="120" t="n">
        <f aca="false">SUM(C135:N135)</f>
        <v>132790.458833333</v>
      </c>
      <c r="P135" s="120" t="n">
        <f aca="false">SUM(I135:N135)</f>
        <v>74817.7035333333</v>
      </c>
      <c r="Q135" s="67" t="s">
        <v>448</v>
      </c>
    </row>
    <row r="136" customFormat="false" ht="15" hidden="false" customHeight="false" outlineLevel="1" collapsed="false">
      <c r="B136" s="5" t="s">
        <v>372</v>
      </c>
      <c r="C136" s="93" t="n">
        <f aca="false">C60</f>
        <v>2135.419</v>
      </c>
      <c r="D136" s="93" t="n">
        <f aca="false">D60</f>
        <v>5352.73866666667</v>
      </c>
      <c r="E136" s="93" t="n">
        <f aca="false">E60</f>
        <v>1958.16266666667</v>
      </c>
      <c r="F136" s="93" t="n">
        <f aca="false">F60</f>
        <v>1160</v>
      </c>
      <c r="G136" s="93" t="n">
        <f aca="false">G60</f>
        <v>1506</v>
      </c>
      <c r="H136" s="93" t="n">
        <f aca="false">H60</f>
        <v>1605</v>
      </c>
      <c r="I136" s="93" t="n">
        <f aca="false">I60</f>
        <v>1285</v>
      </c>
      <c r="J136" s="93" t="n">
        <f aca="false">J60</f>
        <v>1160</v>
      </c>
      <c r="K136" s="93" t="n">
        <f aca="false">K60</f>
        <v>1190</v>
      </c>
      <c r="L136" s="93" t="n">
        <f aca="false">L60</f>
        <v>1160</v>
      </c>
      <c r="M136" s="93" t="n">
        <f aca="false">M60</f>
        <v>1324</v>
      </c>
      <c r="N136" s="93" t="n">
        <f aca="false">N60</f>
        <v>1741</v>
      </c>
      <c r="O136" s="93" t="n">
        <f aca="false">SUM(C136:N136)</f>
        <v>21577.3203333333</v>
      </c>
      <c r="P136" s="93" t="n">
        <f aca="false">SUM(I136:N136)</f>
        <v>7860</v>
      </c>
    </row>
    <row r="137" customFormat="false" ht="15" hidden="false" customHeight="false" outlineLevel="1" collapsed="false">
      <c r="B137" s="5" t="s">
        <v>373</v>
      </c>
      <c r="C137" s="93" t="n">
        <f aca="false">C61</f>
        <v>3202.859</v>
      </c>
      <c r="D137" s="93" t="n">
        <f aca="false">D61</f>
        <v>3019.609</v>
      </c>
      <c r="E137" s="93" t="n">
        <f aca="false">E61</f>
        <v>-3869.555</v>
      </c>
      <c r="F137" s="93" t="n">
        <f aca="false">F61</f>
        <v>300</v>
      </c>
      <c r="G137" s="93" t="n">
        <f aca="false">G61</f>
        <v>300</v>
      </c>
      <c r="H137" s="93" t="n">
        <f aca="false">H61</f>
        <v>300</v>
      </c>
      <c r="I137" s="93" t="n">
        <f aca="false">I61</f>
        <v>300</v>
      </c>
      <c r="J137" s="93" t="n">
        <f aca="false">J61</f>
        <v>300</v>
      </c>
      <c r="K137" s="93" t="n">
        <f aca="false">K61</f>
        <v>300</v>
      </c>
      <c r="L137" s="93" t="n">
        <f aca="false">L61</f>
        <v>300</v>
      </c>
      <c r="M137" s="93" t="n">
        <f aca="false">M61</f>
        <v>300</v>
      </c>
      <c r="N137" s="93" t="n">
        <f aca="false">N61</f>
        <v>300</v>
      </c>
      <c r="O137" s="93" t="n">
        <f aca="false">SUM(C137:N137)</f>
        <v>5052.913</v>
      </c>
      <c r="P137" s="93" t="n">
        <f aca="false">SUM(I137:N137)</f>
        <v>1800</v>
      </c>
    </row>
    <row r="138" customFormat="false" ht="15" hidden="false" customHeight="false" outlineLevel="0" collapsed="false">
      <c r="B138" s="12" t="s">
        <v>374</v>
      </c>
      <c r="C138" s="118" t="n">
        <f aca="false">C99+C109+C112+C116</f>
        <v>264977.18753</v>
      </c>
      <c r="D138" s="118" t="n">
        <f aca="false">D99+D109+D112+D116</f>
        <v>260436.326496061</v>
      </c>
      <c r="E138" s="118" t="n">
        <f aca="false">E99+E109+E112+E116</f>
        <v>248574.112867498</v>
      </c>
      <c r="F138" s="118" t="n">
        <f aca="false">F99+F109+F112+F116</f>
        <v>218565.5078</v>
      </c>
      <c r="G138" s="118" t="n">
        <f aca="false">G99+G109+G112+G116</f>
        <v>208982.0724</v>
      </c>
      <c r="H138" s="118" t="n">
        <f aca="false">H99+H109+H112+H116</f>
        <v>232441.4789</v>
      </c>
      <c r="I138" s="118" t="n">
        <f aca="false">I99+I109+I112+I116</f>
        <v>221115.7591</v>
      </c>
      <c r="J138" s="118" t="n">
        <f aca="false">J99+J109+J112+J116</f>
        <v>209568.240366667</v>
      </c>
      <c r="K138" s="118" t="n">
        <f aca="false">K99+K109+K112+K116</f>
        <v>230928.912366667</v>
      </c>
      <c r="L138" s="118" t="n">
        <f aca="false">L99+L109+L112+L116</f>
        <v>220919.648366667</v>
      </c>
      <c r="M138" s="118" t="n">
        <f aca="false">M99+M109+M112+M116</f>
        <v>225064.012366667</v>
      </c>
      <c r="N138" s="118" t="n">
        <f aca="false">N99+N109+N112+N116</f>
        <v>222849.648366667</v>
      </c>
      <c r="O138" s="93" t="n">
        <f aca="false">SUM(C138:N138)</f>
        <v>2764422.90692689</v>
      </c>
      <c r="P138" s="93" t="n">
        <f aca="false">SUM(I138:N138)</f>
        <v>1330446.22093333</v>
      </c>
    </row>
    <row r="139" customFormat="false" ht="15" hidden="false" customHeight="false" outlineLevel="0" collapsed="false">
      <c r="B139" s="5" t="s">
        <v>375</v>
      </c>
      <c r="C139" s="93" t="n">
        <f aca="false">C63</f>
        <v>0</v>
      </c>
      <c r="D139" s="93" t="n">
        <f aca="false">D63</f>
        <v>0</v>
      </c>
      <c r="E139" s="93" t="n">
        <f aca="false">E63</f>
        <v>0</v>
      </c>
      <c r="F139" s="93" t="n">
        <f aca="false">F63</f>
        <v>0</v>
      </c>
      <c r="G139" s="93" t="n">
        <f aca="false">G63</f>
        <v>0</v>
      </c>
      <c r="H139" s="93" t="n">
        <f aca="false">H63</f>
        <v>0</v>
      </c>
      <c r="I139" s="93" t="n">
        <f aca="false">I63</f>
        <v>0</v>
      </c>
      <c r="J139" s="93" t="n">
        <f aca="false">J63</f>
        <v>0</v>
      </c>
      <c r="K139" s="93" t="n">
        <f aca="false">K63</f>
        <v>0</v>
      </c>
      <c r="L139" s="93" t="n">
        <f aca="false">L63</f>
        <v>0</v>
      </c>
      <c r="M139" s="93" t="n">
        <f aca="false">M63</f>
        <v>0</v>
      </c>
      <c r="N139" s="93" t="n">
        <f aca="false">N63</f>
        <v>0</v>
      </c>
      <c r="O139" s="93" t="n">
        <f aca="false">SUM(C139:N139)</f>
        <v>0</v>
      </c>
      <c r="P139" s="93" t="n">
        <f aca="false">SUM(I139:N139)</f>
        <v>0</v>
      </c>
    </row>
    <row r="140" customFormat="false" ht="15" hidden="false" customHeight="false" outlineLevel="0" collapsed="false">
      <c r="B140" s="12" t="s">
        <v>376</v>
      </c>
      <c r="C140" s="118" t="n">
        <f aca="false">C85-C138+C139</f>
        <v>-21486.8881962976</v>
      </c>
      <c r="D140" s="118" t="n">
        <f aca="false">D85-D138+D139</f>
        <v>21593.9289785419</v>
      </c>
      <c r="E140" s="118" t="n">
        <f aca="false">E85-E138+E139</f>
        <v>-1617.35315351354</v>
      </c>
      <c r="F140" s="118" t="n">
        <f aca="false">F85-F138+F139</f>
        <v>1098.96319999997</v>
      </c>
      <c r="G140" s="118" t="n">
        <f aca="false">G85-G138+G139</f>
        <v>4249.44759999999</v>
      </c>
      <c r="H140" s="118" t="n">
        <f aca="false">H85-H138+H139</f>
        <v>8054.27110000001</v>
      </c>
      <c r="I140" s="118" t="n">
        <f aca="false">I85-I138+I139</f>
        <v>-2319.89610000001</v>
      </c>
      <c r="J140" s="118" t="n">
        <f aca="false">J85-J138+J139</f>
        <v>-2456.84036666667</v>
      </c>
      <c r="K140" s="118" t="n">
        <f aca="false">K85-K138+K139</f>
        <v>3580.08763333334</v>
      </c>
      <c r="L140" s="118" t="n">
        <f aca="false">L85-L138+L139</f>
        <v>3860.35163333331</v>
      </c>
      <c r="M140" s="118" t="n">
        <f aca="false">M85-M138+M139</f>
        <v>2535.98763333331</v>
      </c>
      <c r="N140" s="118" t="n">
        <f aca="false">N85-N138+N139</f>
        <v>-3602.37976666668</v>
      </c>
      <c r="O140" s="93" t="n">
        <f aca="false">SUM(C140:N140)</f>
        <v>13489.6801953973</v>
      </c>
      <c r="P140" s="93" t="n">
        <f aca="false">SUM(I140:N140)</f>
        <v>1597.3106666666</v>
      </c>
    </row>
    <row r="141" customFormat="false" ht="15" hidden="false" customHeight="false" outlineLevel="1" collapsed="false">
      <c r="B141" s="5" t="s">
        <v>377</v>
      </c>
      <c r="C141" s="93" t="n">
        <f aca="false">C65</f>
        <v>0.058</v>
      </c>
      <c r="D141" s="93" t="n">
        <f aca="false">D65</f>
        <v>15.82</v>
      </c>
      <c r="E141" s="93" t="n">
        <f aca="false">E65</f>
        <v>0</v>
      </c>
      <c r="F141" s="93" t="n">
        <f aca="false">F65</f>
        <v>0</v>
      </c>
      <c r="G141" s="93" t="n">
        <f aca="false">G65</f>
        <v>0</v>
      </c>
      <c r="H141" s="93" t="n">
        <f aca="false">H65</f>
        <v>0</v>
      </c>
      <c r="I141" s="93" t="n">
        <f aca="false">I65</f>
        <v>0</v>
      </c>
      <c r="J141" s="93" t="n">
        <f aca="false">J65</f>
        <v>0</v>
      </c>
      <c r="K141" s="93" t="n">
        <f aca="false">K65</f>
        <v>0</v>
      </c>
      <c r="L141" s="93" t="n">
        <f aca="false">L65</f>
        <v>0</v>
      </c>
      <c r="M141" s="93" t="n">
        <f aca="false">M65</f>
        <v>0</v>
      </c>
      <c r="N141" s="93" t="n">
        <f aca="false">N65</f>
        <v>0</v>
      </c>
      <c r="O141" s="93" t="n">
        <f aca="false">SUM(C141:N141)</f>
        <v>15.878</v>
      </c>
      <c r="P141" s="93" t="n">
        <f aca="false">SUM(I141:N141)</f>
        <v>0</v>
      </c>
    </row>
    <row r="142" customFormat="false" ht="15" hidden="false" customHeight="false" outlineLevel="1" collapsed="false">
      <c r="B142" s="5" t="s">
        <v>378</v>
      </c>
      <c r="C142" s="93" t="n">
        <f aca="false">C66</f>
        <v>0</v>
      </c>
      <c r="D142" s="93" t="n">
        <f aca="false">D66</f>
        <v>0</v>
      </c>
      <c r="E142" s="93" t="n">
        <f aca="false">E66</f>
        <v>0</v>
      </c>
      <c r="F142" s="93" t="n">
        <f aca="false">F66</f>
        <v>0</v>
      </c>
      <c r="G142" s="93" t="n">
        <f aca="false">G66</f>
        <v>0</v>
      </c>
      <c r="H142" s="93" t="n">
        <f aca="false">H66</f>
        <v>0</v>
      </c>
      <c r="I142" s="93" t="n">
        <f aca="false">I66</f>
        <v>0</v>
      </c>
      <c r="J142" s="93" t="n">
        <f aca="false">J66</f>
        <v>0</v>
      </c>
      <c r="K142" s="93" t="n">
        <f aca="false">K66</f>
        <v>0</v>
      </c>
      <c r="L142" s="93" t="n">
        <f aca="false">L66</f>
        <v>0</v>
      </c>
      <c r="M142" s="93" t="n">
        <f aca="false">M66</f>
        <v>0</v>
      </c>
      <c r="N142" s="93" t="n">
        <f aca="false">N66</f>
        <v>0</v>
      </c>
      <c r="O142" s="93" t="n">
        <f aca="false">SUM(C142:N142)</f>
        <v>0</v>
      </c>
      <c r="P142" s="93" t="n">
        <f aca="false">SUM(I142:N142)</f>
        <v>0</v>
      </c>
    </row>
    <row r="143" customFormat="false" ht="15" hidden="false" customHeight="false" outlineLevel="1" collapsed="false">
      <c r="B143" s="5" t="s">
        <v>379</v>
      </c>
      <c r="C143" s="93" t="n">
        <f aca="false">C67</f>
        <v>0</v>
      </c>
      <c r="D143" s="93" t="n">
        <f aca="false">D67</f>
        <v>0</v>
      </c>
      <c r="E143" s="93" t="n">
        <f aca="false">E67</f>
        <v>0</v>
      </c>
      <c r="F143" s="93" t="n">
        <f aca="false">F67</f>
        <v>0</v>
      </c>
      <c r="G143" s="93" t="n">
        <f aca="false">G67</f>
        <v>0</v>
      </c>
      <c r="H143" s="93" t="n">
        <f aca="false">H67</f>
        <v>0</v>
      </c>
      <c r="I143" s="93" t="n">
        <f aca="false">I67</f>
        <v>0</v>
      </c>
      <c r="J143" s="93" t="n">
        <f aca="false">J67</f>
        <v>0</v>
      </c>
      <c r="K143" s="93" t="n">
        <f aca="false">K67</f>
        <v>0</v>
      </c>
      <c r="L143" s="93" t="n">
        <f aca="false">L67</f>
        <v>0</v>
      </c>
      <c r="M143" s="93" t="n">
        <f aca="false">M67</f>
        <v>0</v>
      </c>
      <c r="N143" s="93" t="n">
        <f aca="false">N67</f>
        <v>0</v>
      </c>
      <c r="O143" s="93" t="n">
        <f aca="false">SUM(C143:N143)</f>
        <v>0</v>
      </c>
      <c r="P143" s="93" t="n">
        <f aca="false">SUM(I143:N143)</f>
        <v>0</v>
      </c>
    </row>
    <row r="144" customFormat="false" ht="15" hidden="false" customHeight="false" outlineLevel="1" collapsed="false">
      <c r="B144" s="5" t="s">
        <v>380</v>
      </c>
      <c r="C144" s="93" t="n">
        <f aca="false">C68</f>
        <v>0</v>
      </c>
      <c r="D144" s="93" t="n">
        <f aca="false">D68</f>
        <v>0</v>
      </c>
      <c r="E144" s="93" t="n">
        <f aca="false">E68</f>
        <v>0</v>
      </c>
      <c r="F144" s="93" t="n">
        <f aca="false">F68</f>
        <v>0</v>
      </c>
      <c r="G144" s="93" t="n">
        <f aca="false">G68</f>
        <v>0</v>
      </c>
      <c r="H144" s="93" t="n">
        <f aca="false">H68</f>
        <v>0</v>
      </c>
      <c r="I144" s="93" t="n">
        <f aca="false">I68</f>
        <v>0</v>
      </c>
      <c r="J144" s="93" t="n">
        <f aca="false">J68</f>
        <v>0</v>
      </c>
      <c r="K144" s="93" t="n">
        <f aca="false">K68</f>
        <v>0</v>
      </c>
      <c r="L144" s="93" t="n">
        <f aca="false">L68</f>
        <v>0</v>
      </c>
      <c r="M144" s="93" t="n">
        <f aca="false">M68</f>
        <v>0</v>
      </c>
      <c r="N144" s="93" t="n">
        <f aca="false">N68</f>
        <v>0</v>
      </c>
      <c r="O144" s="93" t="n">
        <f aca="false">SUM(C144:N144)</f>
        <v>0</v>
      </c>
      <c r="P144" s="93" t="n">
        <f aca="false">SUM(I144:N144)</f>
        <v>0</v>
      </c>
    </row>
    <row r="145" customFormat="false" ht="15" hidden="false" customHeight="false" outlineLevel="1" collapsed="false">
      <c r="B145" s="5" t="s">
        <v>381</v>
      </c>
      <c r="C145" s="93" t="n">
        <f aca="false">C69</f>
        <v>0</v>
      </c>
      <c r="D145" s="93" t="n">
        <f aca="false">D69</f>
        <v>0</v>
      </c>
      <c r="E145" s="93" t="n">
        <f aca="false">E69</f>
        <v>0</v>
      </c>
      <c r="F145" s="93" t="n">
        <f aca="false">F69</f>
        <v>0</v>
      </c>
      <c r="G145" s="93" t="n">
        <f aca="false">G69</f>
        <v>0</v>
      </c>
      <c r="H145" s="93" t="n">
        <f aca="false">H69</f>
        <v>0</v>
      </c>
      <c r="I145" s="93" t="n">
        <f aca="false">I69</f>
        <v>0</v>
      </c>
      <c r="J145" s="93" t="n">
        <f aca="false">J69</f>
        <v>0</v>
      </c>
      <c r="K145" s="93" t="n">
        <f aca="false">K69</f>
        <v>0</v>
      </c>
      <c r="L145" s="93" t="n">
        <f aca="false">L69</f>
        <v>0</v>
      </c>
      <c r="M145" s="93" t="n">
        <f aca="false">M69</f>
        <v>0</v>
      </c>
      <c r="N145" s="93" t="n">
        <f aca="false">N69</f>
        <v>0</v>
      </c>
      <c r="O145" s="93" t="n">
        <f aca="false">SUM(C145:N145)</f>
        <v>0</v>
      </c>
      <c r="P145" s="93" t="n">
        <f aca="false">SUM(I145:N145)</f>
        <v>0</v>
      </c>
    </row>
    <row r="146" customFormat="false" ht="15" hidden="false" customHeight="false" outlineLevel="0" collapsed="false">
      <c r="B146" s="114" t="s">
        <v>382</v>
      </c>
      <c r="C146" s="115" t="n">
        <f aca="false">C140+C141-C142-C143-C144-C145</f>
        <v>-21486.8301962976</v>
      </c>
      <c r="D146" s="115" t="n">
        <f aca="false">D140+D141-D142-D143-D144-D145</f>
        <v>21609.7489785419</v>
      </c>
      <c r="E146" s="115" t="n">
        <f aca="false">E140+E141-E142-E143-E144-E145</f>
        <v>-1617.35315351354</v>
      </c>
      <c r="F146" s="115" t="n">
        <f aca="false">F140+F141-F142-F143-F144-F145</f>
        <v>1098.96319999997</v>
      </c>
      <c r="G146" s="115" t="n">
        <f aca="false">G140+G141-G142-G143-G144-G145</f>
        <v>4249.44759999999</v>
      </c>
      <c r="H146" s="115" t="n">
        <f aca="false">H140+H141-H142-H143-H144-H145</f>
        <v>8054.27110000001</v>
      </c>
      <c r="I146" s="115" t="n">
        <f aca="false">I140+I141-I142-I143-I144-I145</f>
        <v>-2319.89610000001</v>
      </c>
      <c r="J146" s="115" t="n">
        <f aca="false">J140+J141-J142-J143-J144-J145</f>
        <v>-2456.84036666667</v>
      </c>
      <c r="K146" s="115" t="n">
        <f aca="false">K140+K141-K142-K143-K144-K145</f>
        <v>3580.08763333334</v>
      </c>
      <c r="L146" s="115" t="n">
        <f aca="false">L140+L141-L142-L143-L144-L145</f>
        <v>3860.35163333331</v>
      </c>
      <c r="M146" s="115" t="n">
        <f aca="false">M140+M141-M142-M143-M144-M145</f>
        <v>2535.98763333331</v>
      </c>
      <c r="N146" s="115" t="n">
        <f aca="false">N140+N141-N142-N143-N144-N145</f>
        <v>-3602.37976666668</v>
      </c>
      <c r="O146" s="121" t="n">
        <f aca="false">SUM(C146:N146)</f>
        <v>13505.5581953973</v>
      </c>
      <c r="P146" s="121" t="n">
        <f aca="false">SUM(I146:N146)</f>
        <v>1597.3106666666</v>
      </c>
    </row>
    <row r="148" customFormat="false" ht="15" hidden="false" customHeight="false" outlineLevel="0" collapsed="false">
      <c r="B148" s="3" t="s">
        <v>465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customFormat="false" ht="15" hidden="false" customHeight="false" outlineLevel="0" collapsed="false">
      <c r="B149" s="12" t="s">
        <v>466</v>
      </c>
      <c r="C149" s="106" t="n">
        <f aca="false">白鳥惣菜PL_導入効果!C70</f>
        <v>4992.25329999998</v>
      </c>
      <c r="D149" s="106" t="n">
        <f aca="false">白鳥惣菜PL_導入効果!D70</f>
        <v>11406.0076</v>
      </c>
      <c r="E149" s="106" t="n">
        <f aca="false">白鳥惣菜PL_導入効果!E70</f>
        <v>-2807.815</v>
      </c>
      <c r="F149" s="106" t="n">
        <f aca="false">白鳥惣菜PL_導入効果!F70</f>
        <v>1098.96319999997</v>
      </c>
      <c r="G149" s="106" t="n">
        <f aca="false">白鳥惣菜PL_導入効果!G70</f>
        <v>4249.44759999999</v>
      </c>
      <c r="H149" s="106" t="n">
        <f aca="false">白鳥惣菜PL_導入効果!H70</f>
        <v>8054.27110000001</v>
      </c>
      <c r="I149" s="106" t="n">
        <f aca="false">白鳥惣菜PL_導入効果!I70</f>
        <v>-2319.89610000001</v>
      </c>
      <c r="J149" s="106" t="n">
        <f aca="false">白鳥惣菜PL_導入効果!J70</f>
        <v>-2565.48170000003</v>
      </c>
      <c r="K149" s="106" t="n">
        <f aca="false">白鳥惣菜PL_導入効果!K70</f>
        <v>3454.53829999999</v>
      </c>
      <c r="L149" s="106" t="n">
        <f aca="false">白鳥惣菜PL_導入効果!L70</f>
        <v>3740.43829999998</v>
      </c>
      <c r="M149" s="106" t="n">
        <f aca="false">白鳥惣菜PL_導入効果!M70</f>
        <v>2410.43829999998</v>
      </c>
      <c r="N149" s="106" t="n">
        <f aca="false">白鳥惣菜PL_導入効果!N70</f>
        <v>-3722.29310000001</v>
      </c>
      <c r="O149" s="106" t="n">
        <f aca="false">白鳥惣菜PL_導入効果!O70</f>
        <v>27990.8717999998</v>
      </c>
      <c r="P149" s="106" t="n">
        <f aca="false">白鳥惣菜PL_導入効果!P70</f>
        <v>997.74399999989</v>
      </c>
    </row>
    <row r="150" customFormat="false" ht="15" hidden="false" customHeight="false" outlineLevel="0" collapsed="false">
      <c r="B150" s="12" t="s">
        <v>467</v>
      </c>
      <c r="C150" s="118" t="n">
        <f aca="false">C70</f>
        <v>-21486.8301962976</v>
      </c>
      <c r="D150" s="118" t="n">
        <f aca="false">D70</f>
        <v>21609.7489785419</v>
      </c>
      <c r="E150" s="118" t="n">
        <f aca="false">E70</f>
        <v>-1617.35315351357</v>
      </c>
      <c r="F150" s="118" t="n">
        <f aca="false">F70</f>
        <v>1098.96319999997</v>
      </c>
      <c r="G150" s="118" t="n">
        <f aca="false">G70</f>
        <v>4249.44759999999</v>
      </c>
      <c r="H150" s="118" t="n">
        <f aca="false">H70</f>
        <v>8054.27110000001</v>
      </c>
      <c r="I150" s="118" t="n">
        <f aca="false">I70</f>
        <v>-2319.89610000001</v>
      </c>
      <c r="J150" s="118" t="n">
        <f aca="false">J70</f>
        <v>-2565.48170000003</v>
      </c>
      <c r="K150" s="118" t="n">
        <f aca="false">K70</f>
        <v>3454.53829999999</v>
      </c>
      <c r="L150" s="118" t="n">
        <f aca="false">L70</f>
        <v>3740.43829999998</v>
      </c>
      <c r="M150" s="118" t="n">
        <f aca="false">M70</f>
        <v>2410.43829999998</v>
      </c>
      <c r="N150" s="118" t="n">
        <f aca="false">N70</f>
        <v>-3722.29310000001</v>
      </c>
      <c r="O150" s="118" t="n">
        <f aca="false">O70</f>
        <v>12905.9915287306</v>
      </c>
      <c r="P150" s="118" t="n">
        <f aca="false">P70</f>
        <v>997.74399999989</v>
      </c>
    </row>
    <row r="151" customFormat="false" ht="15" hidden="false" customHeight="false" outlineLevel="0" collapsed="false">
      <c r="B151" s="12" t="s">
        <v>468</v>
      </c>
      <c r="C151" s="118" t="n">
        <f aca="false">C146</f>
        <v>-21486.8301962976</v>
      </c>
      <c r="D151" s="118" t="n">
        <f aca="false">D146</f>
        <v>21609.7489785419</v>
      </c>
      <c r="E151" s="118" t="n">
        <f aca="false">E146</f>
        <v>-1617.35315351354</v>
      </c>
      <c r="F151" s="118" t="n">
        <f aca="false">F146</f>
        <v>1098.96319999997</v>
      </c>
      <c r="G151" s="118" t="n">
        <f aca="false">G146</f>
        <v>4249.44759999999</v>
      </c>
      <c r="H151" s="118" t="n">
        <f aca="false">H146</f>
        <v>8054.27110000001</v>
      </c>
      <c r="I151" s="118" t="n">
        <f aca="false">I146</f>
        <v>-2319.89610000001</v>
      </c>
      <c r="J151" s="118" t="n">
        <f aca="false">J146</f>
        <v>-2456.84036666667</v>
      </c>
      <c r="K151" s="118" t="n">
        <f aca="false">K146</f>
        <v>3580.08763333334</v>
      </c>
      <c r="L151" s="118" t="n">
        <f aca="false">L146</f>
        <v>3860.35163333331</v>
      </c>
      <c r="M151" s="118" t="n">
        <f aca="false">M146</f>
        <v>2535.98763333331</v>
      </c>
      <c r="N151" s="118" t="n">
        <f aca="false">N146</f>
        <v>-3602.37976666668</v>
      </c>
      <c r="O151" s="118" t="n">
        <f aca="false">O146</f>
        <v>13505.5581953973</v>
      </c>
      <c r="P151" s="118" t="n">
        <f aca="false">P146</f>
        <v>1597.3106666666</v>
      </c>
    </row>
    <row r="152" customFormat="false" ht="15" hidden="false" customHeight="false" outlineLevel="0" collapsed="false">
      <c r="B152" s="109" t="s">
        <v>469</v>
      </c>
      <c r="C152" s="127" t="n">
        <f aca="false">C151-C149</f>
        <v>-26479.0834962976</v>
      </c>
      <c r="D152" s="127" t="n">
        <f aca="false">D151-D149</f>
        <v>10203.7413785419</v>
      </c>
      <c r="E152" s="127" t="n">
        <f aca="false">E151-E149</f>
        <v>1190.46184648646</v>
      </c>
      <c r="F152" s="127" t="n">
        <f aca="false">F151-F149</f>
        <v>0</v>
      </c>
      <c r="G152" s="127" t="n">
        <f aca="false">G151-G149</f>
        <v>0</v>
      </c>
      <c r="H152" s="127" t="n">
        <f aca="false">H151-H149</f>
        <v>0</v>
      </c>
      <c r="I152" s="127" t="n">
        <f aca="false">I151-I149</f>
        <v>0</v>
      </c>
      <c r="J152" s="127" t="n">
        <f aca="false">J151-J149</f>
        <v>108.641333333362</v>
      </c>
      <c r="K152" s="127" t="n">
        <f aca="false">K151-K149</f>
        <v>125.549333333357</v>
      </c>
      <c r="L152" s="127" t="n">
        <f aca="false">L151-L149</f>
        <v>119.91333333333</v>
      </c>
      <c r="M152" s="127" t="n">
        <f aca="false">M151-M149</f>
        <v>125.549333333329</v>
      </c>
      <c r="N152" s="127" t="n">
        <f aca="false">N151-N149</f>
        <v>119.91333333333</v>
      </c>
      <c r="O152" s="127" t="n">
        <f aca="false">O151-O149</f>
        <v>-14485.3136046025</v>
      </c>
      <c r="P152" s="127" t="n">
        <f aca="false">P151-P149</f>
        <v>599.566666666709</v>
      </c>
      <c r="Q152" s="14" t="s">
        <v>470</v>
      </c>
    </row>
    <row r="153" customFormat="false" ht="15" hidden="false" customHeight="false" outlineLevel="0" collapsed="false">
      <c r="B153" s="5" t="s">
        <v>471</v>
      </c>
      <c r="C153" s="93" t="n">
        <f aca="false">C150-C149</f>
        <v>-26479.0834962976</v>
      </c>
      <c r="D153" s="93" t="n">
        <f aca="false">D150-D149</f>
        <v>10203.7413785419</v>
      </c>
      <c r="E153" s="93" t="n">
        <f aca="false">E150-E149</f>
        <v>1190.46184648643</v>
      </c>
      <c r="F153" s="93" t="n">
        <f aca="false">F150-F149</f>
        <v>0</v>
      </c>
      <c r="G153" s="93" t="n">
        <f aca="false">G150-G149</f>
        <v>0</v>
      </c>
      <c r="H153" s="93" t="n">
        <f aca="false">H150-H149</f>
        <v>0</v>
      </c>
      <c r="I153" s="93" t="n">
        <f aca="false">I150-I149</f>
        <v>0</v>
      </c>
      <c r="J153" s="93" t="n">
        <f aca="false">J150-J149</f>
        <v>0</v>
      </c>
      <c r="K153" s="93" t="n">
        <f aca="false">K150-K149</f>
        <v>0</v>
      </c>
      <c r="L153" s="93" t="n">
        <f aca="false">L150-L149</f>
        <v>0</v>
      </c>
      <c r="M153" s="93" t="n">
        <f aca="false">M150-M149</f>
        <v>0</v>
      </c>
      <c r="N153" s="93" t="n">
        <f aca="false">N150-N149</f>
        <v>0</v>
      </c>
      <c r="O153" s="93" t="n">
        <f aca="false">O150-O149</f>
        <v>-15084.8802712692</v>
      </c>
      <c r="P153" s="93" t="n">
        <f aca="false">P150-P149</f>
        <v>0</v>
      </c>
      <c r="Q153" s="24" t="s">
        <v>472</v>
      </c>
    </row>
    <row r="154" customFormat="false" ht="15" hidden="false" customHeight="false" outlineLevel="0" collapsed="false">
      <c r="B154" s="114" t="s">
        <v>473</v>
      </c>
      <c r="C154" s="115" t="n">
        <f aca="false">C151-C150</f>
        <v>0</v>
      </c>
      <c r="D154" s="115" t="n">
        <f aca="false">D151-D150</f>
        <v>0</v>
      </c>
      <c r="E154" s="115" t="n">
        <f aca="false">E151-E150</f>
        <v>2.93312041321769E-011</v>
      </c>
      <c r="F154" s="115" t="n">
        <f aca="false">F151-F150</f>
        <v>0</v>
      </c>
      <c r="G154" s="115" t="n">
        <f aca="false">G151-G150</f>
        <v>0</v>
      </c>
      <c r="H154" s="115" t="n">
        <f aca="false">H151-H150</f>
        <v>0</v>
      </c>
      <c r="I154" s="115" t="n">
        <f aca="false">I151-I150</f>
        <v>0</v>
      </c>
      <c r="J154" s="115" t="n">
        <f aca="false">J151-J150</f>
        <v>108.641333333362</v>
      </c>
      <c r="K154" s="115" t="n">
        <f aca="false">K151-K150</f>
        <v>125.549333333357</v>
      </c>
      <c r="L154" s="115" t="n">
        <f aca="false">L151-L150</f>
        <v>119.91333333333</v>
      </c>
      <c r="M154" s="115" t="n">
        <f aca="false">M151-M150</f>
        <v>125.549333333329</v>
      </c>
      <c r="N154" s="115" t="n">
        <f aca="false">N151-N150</f>
        <v>119.91333333333</v>
      </c>
      <c r="O154" s="115" t="n">
        <f aca="false">O151-O150</f>
        <v>599.566666666735</v>
      </c>
      <c r="P154" s="115" t="n">
        <f aca="false">P151-P150</f>
        <v>599.566666666709</v>
      </c>
      <c r="Q154" s="14" t="s">
        <v>474</v>
      </c>
    </row>
    <row r="155" customFormat="false" ht="15" hidden="false" customHeight="false" outlineLevel="0" collapsed="false">
      <c r="B155" s="5" t="s">
        <v>475</v>
      </c>
      <c r="C155" s="122" t="str">
        <f aca="false">IF(C152&gt;0,"予算超",IF(C152=0,"予算通り","未達"))</f>
        <v>未達</v>
      </c>
      <c r="D155" s="122" t="str">
        <f aca="false">IF(D152&gt;0,"予算超",IF(D152=0,"予算通り","未達"))</f>
        <v>予算超</v>
      </c>
      <c r="E155" s="122" t="str">
        <f aca="false">IF(E152&gt;0,"予算超",IF(E152=0,"予算通り","未達"))</f>
        <v>予算超</v>
      </c>
      <c r="F155" s="122" t="str">
        <f aca="false">IF(F152&gt;0,"予算超",IF(F152=0,"予算通り","未達"))</f>
        <v>予算通り</v>
      </c>
      <c r="G155" s="122" t="str">
        <f aca="false">IF(G152&gt;0,"予算超",IF(G152=0,"予算通り","未達"))</f>
        <v>予算通り</v>
      </c>
      <c r="H155" s="122" t="str">
        <f aca="false">IF(H152&gt;0,"予算超",IF(H152=0,"予算通り","未達"))</f>
        <v>予算通り</v>
      </c>
      <c r="I155" s="122" t="str">
        <f aca="false">IF(I152&gt;0,"予算超",IF(I152=0,"予算通り","未達"))</f>
        <v>予算通り</v>
      </c>
      <c r="J155" s="122" t="str">
        <f aca="false">IF(J152&gt;0,"予算超",IF(J152=0,"予算通り","未達"))</f>
        <v>予算超</v>
      </c>
      <c r="K155" s="122" t="str">
        <f aca="false">IF(K152&gt;0,"予算超",IF(K152=0,"予算通り","未達"))</f>
        <v>予算超</v>
      </c>
      <c r="L155" s="122" t="str">
        <f aca="false">IF(L152&gt;0,"予算超",IF(L152=0,"予算通り","未達"))</f>
        <v>予算超</v>
      </c>
      <c r="M155" s="122" t="str">
        <f aca="false">IF(M152&gt;0,"予算超",IF(M152=0,"予算通り","未達"))</f>
        <v>予算超</v>
      </c>
      <c r="N155" s="122" t="str">
        <f aca="false">IF(N152&gt;0,"予算超",IF(N152=0,"予算通り","未達"))</f>
        <v>予算超</v>
      </c>
      <c r="O155" s="122" t="str">
        <f aca="false">IF(O152&gt;0,"予算超",IF(O152=0,"予算通り","未達"))</f>
        <v>未達</v>
      </c>
      <c r="P155" s="122" t="str">
        <f aca="false">IF(P152&gt;0,"予算超",IF(P152=0,"予算通り","未達"))</f>
        <v>予算超</v>
      </c>
    </row>
    <row r="157" customFormat="false" ht="15" hidden="false" customHeight="false" outlineLevel="0" collapsed="false">
      <c r="B157" s="12" t="s">
        <v>309</v>
      </c>
    </row>
    <row r="158" customFormat="false" ht="15" hidden="false" customHeight="false" outlineLevel="0" collapsed="false">
      <c r="B158" s="33" t="str">
        <f aca="false">"・7〜9月は実績値。7月は人件費・運賃などが予算を上回り大きく未達、8・9月は予算超。7〜9月計の予算差は"&amp;TEXT(SUM(C153:E153)/10,"+#,##0;▲#,##0")&amp;"万円（充填機の投資とは無関係）。"</f>
        <v>・7〜9月は実績値。7月は人件費・運賃などが予算を上回り大きく未達、8・9月は予算超。7〜9月計の予算差は▲1,508万円（充填機の投資とは無関係）。</v>
      </c>
    </row>
    <row r="159" customFormat="false" ht="15" hidden="false" customHeight="false" outlineLevel="0" collapsed="false">
      <c r="B159" s="33" t="s">
        <v>476</v>
      </c>
    </row>
    <row r="160" customFormat="false" ht="15" hidden="false" customHeight="false" outlineLevel="0" collapsed="false">
      <c r="B160" s="33" t="s">
        <v>477</v>
      </c>
    </row>
  </sheetData>
  <conditionalFormatting sqref="C155:P155">
    <cfRule type="expression" priority="2" aboveAverage="0" equalAverage="0" bottom="0" percent="0" rank="0" text="" dxfId="3">
      <formula>C155="未達"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2026-10-29T08:48:36Z</dcterms:created>
  <dc:creator>openpyxl</dc:creator>
  <dc:description/>
  <dc:language>en-US</dc:language>
  <cp:lastModifiedBy/>
  <dcterms:modified xsi:type="dcterms:W3CDTF">2026-10-29T08:48:39Z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